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 Carlos Etayo\comiteinfecciones\rondas\"/>
    </mc:Choice>
  </mc:AlternateContent>
  <xr:revisionPtr revIDLastSave="0" documentId="13_ncr:1_{0B196FFA-A7F0-4D29-BA43-3D464535756B}" xr6:coauthVersionLast="47" xr6:coauthVersionMax="47" xr10:uidLastSave="{00000000-0000-0000-0000-000000000000}"/>
  <bookViews>
    <workbookView xWindow="-120" yWindow="-120" windowWidth="24240" windowHeight="13020" firstSheet="1" activeTab="2" xr2:uid="{00000000-000D-0000-FFFF-FFFF00000000}"/>
  </bookViews>
  <sheets>
    <sheet name="CONSOLIDADO" sheetId="1" r:id="rId1"/>
    <sheet name="CUMPLIMIENTO 2026" sheetId="2" r:id="rId2"/>
    <sheet name="ENE 2026" sheetId="3" r:id="rId3"/>
    <sheet name="listas" sheetId="16" r:id="rId4"/>
  </sheets>
  <externalReferences>
    <externalReference r:id="rId5"/>
  </externalReferences>
  <definedNames>
    <definedName name="_xlnm._FilterDatabase" localSheetId="2" hidden="1">'ENE 2026'!$A$1:$AC$107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jfg7ziyxHaxvwx/S62fivHq80c1c1SkUltT7iwenE+0="/>
    </ext>
  </extLst>
</workbook>
</file>

<file path=xl/calcChain.xml><?xml version="1.0" encoding="utf-8"?>
<calcChain xmlns="http://schemas.openxmlformats.org/spreadsheetml/2006/main">
  <c r="M20" i="2" l="1"/>
  <c r="M3" i="2"/>
  <c r="L3" i="2"/>
  <c r="L18" i="2"/>
  <c r="K37" i="2"/>
  <c r="J3" i="2"/>
  <c r="I3" i="2"/>
  <c r="I18" i="2"/>
  <c r="G20" i="2"/>
  <c r="G3" i="2"/>
  <c r="F18" i="2"/>
  <c r="F3" i="2"/>
  <c r="E3" i="2"/>
  <c r="D20" i="2"/>
  <c r="D18" i="2"/>
  <c r="D3" i="2"/>
  <c r="C18" i="2"/>
  <c r="C3" i="2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C49" i="3"/>
  <c r="S48" i="3"/>
  <c r="D48" i="3"/>
  <c r="C48" i="3"/>
  <c r="B48" i="3"/>
  <c r="S47" i="3"/>
  <c r="D47" i="3"/>
  <c r="C47" i="3"/>
  <c r="B47" i="3"/>
  <c r="S46" i="3"/>
  <c r="C46" i="3"/>
  <c r="S45" i="3"/>
  <c r="S44" i="3"/>
  <c r="S43" i="3"/>
  <c r="C43" i="3"/>
  <c r="S42" i="3"/>
  <c r="D42" i="3"/>
  <c r="C42" i="3"/>
  <c r="B42" i="3"/>
  <c r="S41" i="3"/>
  <c r="C41" i="3"/>
  <c r="S40" i="3"/>
  <c r="D40" i="3"/>
  <c r="C40" i="3"/>
  <c r="B40" i="3"/>
  <c r="S39" i="3"/>
  <c r="S38" i="3"/>
  <c r="C38" i="3"/>
  <c r="B38" i="3"/>
  <c r="S37" i="3"/>
  <c r="C37" i="3"/>
  <c r="S36" i="3"/>
  <c r="D36" i="3"/>
  <c r="C36" i="3"/>
  <c r="B36" i="3"/>
  <c r="S35" i="3"/>
  <c r="B46" i="3" s="1"/>
  <c r="D35" i="3"/>
  <c r="C35" i="3"/>
  <c r="B35" i="3"/>
  <c r="S34" i="3"/>
  <c r="D37" i="3" s="1"/>
  <c r="C34" i="3"/>
  <c r="S33" i="3"/>
  <c r="B12" i="3" s="1"/>
  <c r="S32" i="3"/>
  <c r="S31" i="3"/>
  <c r="C31" i="3"/>
  <c r="S30" i="3"/>
  <c r="D30" i="3"/>
  <c r="C30" i="3"/>
  <c r="B30" i="3"/>
  <c r="S29" i="3"/>
  <c r="C29" i="3"/>
  <c r="S28" i="3"/>
  <c r="D49" i="3" s="1"/>
  <c r="D28" i="3"/>
  <c r="C28" i="3"/>
  <c r="S27" i="3"/>
  <c r="S26" i="3"/>
  <c r="S25" i="3"/>
  <c r="C25" i="3"/>
  <c r="S24" i="3"/>
  <c r="D24" i="3"/>
  <c r="C24" i="3"/>
  <c r="B24" i="3"/>
  <c r="S23" i="3"/>
  <c r="D23" i="3"/>
  <c r="C23" i="3"/>
  <c r="B23" i="3"/>
  <c r="S22" i="3"/>
  <c r="D5" i="3" s="1"/>
  <c r="B21" i="2" s="1"/>
  <c r="B164" i="2" s="1"/>
  <c r="C22" i="3"/>
  <c r="S21" i="3"/>
  <c r="S20" i="3"/>
  <c r="S19" i="3"/>
  <c r="D19" i="3"/>
  <c r="C19" i="3"/>
  <c r="S18" i="3"/>
  <c r="D18" i="3"/>
  <c r="C18" i="3"/>
  <c r="B18" i="3"/>
  <c r="S17" i="3"/>
  <c r="C17" i="3"/>
  <c r="S16" i="3"/>
  <c r="C16" i="3"/>
  <c r="S15" i="3"/>
  <c r="S14" i="3"/>
  <c r="B5" i="3" s="1"/>
  <c r="S13" i="3"/>
  <c r="B4" i="3" s="1"/>
  <c r="D13" i="3"/>
  <c r="C13" i="3"/>
  <c r="B13" i="3"/>
  <c r="S12" i="3"/>
  <c r="B28" i="3" s="1"/>
  <c r="C12" i="3"/>
  <c r="D11" i="3"/>
  <c r="B39" i="2" s="1"/>
  <c r="C11" i="3"/>
  <c r="S10" i="3"/>
  <c r="D10" i="3"/>
  <c r="B38" i="2" s="1"/>
  <c r="C10" i="3"/>
  <c r="S9" i="3"/>
  <c r="B11" i="3" s="1"/>
  <c r="D9" i="3"/>
  <c r="B37" i="2" s="1"/>
  <c r="C9" i="3"/>
  <c r="S8" i="3"/>
  <c r="D31" i="3" s="1"/>
  <c r="S7" i="3"/>
  <c r="D29" i="3" s="1"/>
  <c r="S6" i="3"/>
  <c r="B10" i="3" s="1"/>
  <c r="C6" i="3"/>
  <c r="B3" i="2" s="1"/>
  <c r="C5" i="3"/>
  <c r="S4" i="3"/>
  <c r="B19" i="3" s="1"/>
  <c r="C4" i="3"/>
  <c r="S3" i="3"/>
  <c r="B17" i="3" s="1"/>
  <c r="C3" i="3"/>
  <c r="S2" i="3"/>
  <c r="D22" i="3" s="1"/>
  <c r="D2" i="3"/>
  <c r="C2" i="3"/>
  <c r="B2" i="3"/>
  <c r="I164" i="2"/>
  <c r="E164" i="2"/>
  <c r="Q162" i="2"/>
  <c r="P162" i="2"/>
  <c r="O162" i="2"/>
  <c r="N162" i="2"/>
  <c r="D145" i="2"/>
  <c r="E109" i="2"/>
  <c r="P108" i="2"/>
  <c r="O108" i="2"/>
  <c r="N108" i="2"/>
  <c r="Q107" i="2"/>
  <c r="P107" i="2"/>
  <c r="O107" i="2"/>
  <c r="N107" i="2"/>
  <c r="H77" i="2"/>
  <c r="H76" i="2"/>
  <c r="E55" i="2"/>
  <c r="Q53" i="2"/>
  <c r="P53" i="2"/>
  <c r="O53" i="2"/>
  <c r="N53" i="2"/>
  <c r="Q52" i="2"/>
  <c r="P52" i="2"/>
  <c r="O52" i="2"/>
  <c r="N52" i="2"/>
  <c r="M39" i="2"/>
  <c r="L39" i="2"/>
  <c r="K39" i="2"/>
  <c r="J39" i="2"/>
  <c r="I39" i="2"/>
  <c r="H39" i="2"/>
  <c r="G39" i="2"/>
  <c r="D39" i="2"/>
  <c r="M38" i="2"/>
  <c r="L38" i="2"/>
  <c r="K38" i="2"/>
  <c r="J38" i="2"/>
  <c r="I38" i="2"/>
  <c r="H38" i="2"/>
  <c r="G38" i="2"/>
  <c r="F38" i="2"/>
  <c r="D38" i="2"/>
  <c r="C38" i="2"/>
  <c r="M37" i="2"/>
  <c r="L37" i="2"/>
  <c r="J37" i="2"/>
  <c r="I37" i="2"/>
  <c r="H37" i="2"/>
  <c r="G37" i="2"/>
  <c r="M21" i="2"/>
  <c r="M164" i="2" s="1"/>
  <c r="L21" i="2"/>
  <c r="L164" i="2" s="1"/>
  <c r="K21" i="2"/>
  <c r="K164" i="2" s="1"/>
  <c r="J21" i="2"/>
  <c r="J164" i="2" s="1"/>
  <c r="I21" i="2"/>
  <c r="H21" i="2"/>
  <c r="H164" i="2" s="1"/>
  <c r="P164" i="2" s="1"/>
  <c r="G21" i="2"/>
  <c r="G164" i="2" s="1"/>
  <c r="F21" i="2"/>
  <c r="F164" i="2" s="1"/>
  <c r="O164" i="2" s="1"/>
  <c r="L20" i="2"/>
  <c r="L55" i="2" s="1"/>
  <c r="K20" i="2"/>
  <c r="K109" i="2" s="1"/>
  <c r="J20" i="2"/>
  <c r="J109" i="2" s="1"/>
  <c r="I20" i="2"/>
  <c r="I109" i="2" s="1"/>
  <c r="H20" i="2"/>
  <c r="H109" i="2" s="1"/>
  <c r="M19" i="2"/>
  <c r="L19" i="2"/>
  <c r="K19" i="2"/>
  <c r="J19" i="2"/>
  <c r="I19" i="2"/>
  <c r="H19" i="2"/>
  <c r="G19" i="2"/>
  <c r="F19" i="2"/>
  <c r="M18" i="2"/>
  <c r="K18" i="2"/>
  <c r="J18" i="2"/>
  <c r="H18" i="2"/>
  <c r="G18" i="2"/>
  <c r="B18" i="2"/>
  <c r="N20" i="2" s="1"/>
  <c r="N6" i="2"/>
  <c r="J4" i="2"/>
  <c r="G4" i="2"/>
  <c r="G5" i="2" s="1"/>
  <c r="G9" i="1" s="1"/>
  <c r="K3" i="2"/>
  <c r="H3" i="2"/>
  <c r="N17" i="1"/>
  <c r="N16" i="1"/>
  <c r="N15" i="1"/>
  <c r="N14" i="1"/>
  <c r="N13" i="1"/>
  <c r="N12" i="1"/>
  <c r="N11" i="1"/>
  <c r="N10" i="1"/>
  <c r="N8" i="1"/>
  <c r="N7" i="1"/>
  <c r="N6" i="1"/>
  <c r="N5" i="1"/>
  <c r="J5" i="2" l="1"/>
  <c r="J9" i="1" s="1"/>
  <c r="L109" i="2"/>
  <c r="H55" i="2"/>
  <c r="M4" i="2"/>
  <c r="M5" i="2" s="1"/>
  <c r="M9" i="1" s="1"/>
  <c r="H4" i="2"/>
  <c r="D109" i="2"/>
  <c r="D55" i="2"/>
  <c r="G109" i="2"/>
  <c r="G55" i="2"/>
  <c r="I4" i="2"/>
  <c r="I5" i="2" s="1"/>
  <c r="I9" i="1" s="1"/>
  <c r="N3" i="2"/>
  <c r="P109" i="2"/>
  <c r="K4" i="2"/>
  <c r="L4" i="2"/>
  <c r="L5" i="2" s="1"/>
  <c r="L9" i="1" s="1"/>
  <c r="M109" i="2"/>
  <c r="M55" i="2"/>
  <c r="Q109" i="2"/>
  <c r="Q164" i="2"/>
  <c r="N19" i="2"/>
  <c r="N21" i="2"/>
  <c r="B34" i="3"/>
  <c r="C37" i="2"/>
  <c r="C39" i="2"/>
  <c r="B25" i="3"/>
  <c r="I55" i="2"/>
  <c r="B41" i="3"/>
  <c r="B43" i="3"/>
  <c r="D46" i="3"/>
  <c r="F37" i="2"/>
  <c r="F39" i="2"/>
  <c r="J55" i="2"/>
  <c r="P55" i="2" s="1"/>
  <c r="D4" i="3"/>
  <c r="B20" i="2" s="1"/>
  <c r="B109" i="2" s="1"/>
  <c r="D12" i="3"/>
  <c r="B16" i="3"/>
  <c r="D25" i="3"/>
  <c r="B29" i="3"/>
  <c r="B31" i="3"/>
  <c r="D34" i="3"/>
  <c r="D38" i="3"/>
  <c r="C20" i="2"/>
  <c r="D19" i="2"/>
  <c r="D21" i="2"/>
  <c r="D164" i="2" s="1"/>
  <c r="N18" i="2"/>
  <c r="K55" i="2"/>
  <c r="Q55" i="2" s="1"/>
  <c r="D41" i="3"/>
  <c r="D43" i="3"/>
  <c r="B49" i="3"/>
  <c r="F20" i="2"/>
  <c r="N22" i="2"/>
  <c r="B3" i="3"/>
  <c r="B6" i="3" s="1"/>
  <c r="D16" i="3"/>
  <c r="B22" i="3"/>
  <c r="B37" i="3"/>
  <c r="D17" i="3"/>
  <c r="B9" i="3"/>
  <c r="D37" i="2"/>
  <c r="D3" i="3"/>
  <c r="B19" i="2" s="1"/>
  <c r="B55" i="2" s="1"/>
  <c r="C19" i="2"/>
  <c r="C21" i="2"/>
  <c r="C164" i="2" s="1"/>
  <c r="N164" i="2" s="1"/>
  <c r="D4" i="2" l="1"/>
  <c r="D5" i="2" s="1"/>
  <c r="D9" i="1" s="1"/>
  <c r="F4" i="2"/>
  <c r="F5" i="2" s="1"/>
  <c r="F9" i="1" s="1"/>
  <c r="D6" i="3"/>
  <c r="B4" i="2"/>
  <c r="B11" i="2"/>
  <c r="H5" i="2"/>
  <c r="H9" i="1" s="1"/>
  <c r="B12" i="2"/>
  <c r="K5" i="2"/>
  <c r="K9" i="1" s="1"/>
  <c r="C109" i="2"/>
  <c r="N109" i="2" s="1"/>
  <c r="C55" i="2"/>
  <c r="N55" i="2" s="1"/>
  <c r="C4" i="2"/>
  <c r="C5" i="2" s="1"/>
  <c r="C9" i="1" s="1"/>
  <c r="F55" i="2"/>
  <c r="O55" i="2" s="1"/>
  <c r="F109" i="2"/>
  <c r="O109" i="2" s="1"/>
  <c r="B5" i="2" l="1"/>
  <c r="B9" i="2"/>
  <c r="E4" i="2"/>
  <c r="B10" i="2" l="1"/>
  <c r="E5" i="2"/>
  <c r="E9" i="1" s="1"/>
  <c r="N9" i="1" s="1"/>
  <c r="N4" i="2"/>
  <c r="N5" i="2"/>
  <c r="B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5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ID#AAAByTYQFlY
Maria del Socorro Trullo Escobar    (2022-01-17 17:16:32)
Mayo 2018 no cumplen por deficit de batas</t>
        </r>
      </text>
    </comment>
    <comment ref="G5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ID#AAAByTYQFlg
Maria del Socorro Trullo Escobar    (2022-01-17 17:16:32)
Junio 2018 no cumplen por deficit de batas</t>
        </r>
      </text>
    </comment>
    <comment ref="H5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ID#AAAByTM5pEE
Maria del Socorro Trullo Escobar    (2022-01-17 17:16:32)
Julio 2018 no cumplen por que el personal pensaba que no habia batas</t>
        </r>
      </text>
    </comment>
    <comment ref="F18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ID#AAAByTYQFmY
Maria del Socorro Trullo Escobar    (2022-01-17 17:16:32)
Mayo 2018 no cumplen por deficit de batas</t>
        </r>
      </text>
    </comment>
    <comment ref="G18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ID#AAAByTM5pEQ
Maria del Socorro Trullo Escobar    (2022-01-17 17:16:32)
Junio 2018 no cumplen por deficit de batas</t>
        </r>
      </text>
    </comment>
    <comment ref="H18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ID#AAAByTYQFmg
Maria del Socorro Trullo Escobar    (2022-01-17 17:16:32)
Julio 2018 no cumplen por que el personal pensaba que no habia batas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5GuZra0caXiIS5KGbYInpJM0/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ID#AAAByTYQFmo
66758997    (2022-01-17 17:16:32)
SE INICIA LA MEDICION EN FEBRERO DE 2016</t>
        </r>
      </text>
    </comment>
    <comment ref="E2" authorId="0" shapeId="0" xr:uid="{00000000-0006-0000-0100-00000E000000}">
      <text>
        <r>
          <rPr>
            <sz val="11"/>
            <color theme="1"/>
            <rFont val="Calibri"/>
            <scheme val="minor"/>
          </rPr>
          <t>======
ID#AAAByTYQFlk
Maria del Socorro Trullo Escobar    (2022-01-17 17:16:32)
se incluye servicio de uregncias, antes no se hacia</t>
        </r>
      </text>
    </comment>
    <comment ref="H76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ID#AAAByTYQFmk
Andres Mauricio Pino    (2022-01-17 17:16:32)
Utilización de bisutería</t>
        </r>
      </text>
    </comment>
    <comment ref="H77" authorId="0" shapeId="0" xr:uid="{00000000-0006-0000-0100-000010000000}">
      <text>
        <r>
          <rPr>
            <sz val="11"/>
            <color theme="1"/>
            <rFont val="Calibri"/>
            <scheme val="minor"/>
          </rPr>
          <t>======
ID#AAAByTYQFl0
Andres Mauricio Pino    (2022-01-17 17:16:32)
Utilización de bisutería</t>
        </r>
      </text>
    </comment>
    <comment ref="J78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ID#AAAByTM5pEc
66758997    (2022-01-17 17:16:32)
NO SE PRESENTO</t>
        </r>
      </text>
    </comment>
    <comment ref="C131" authorId="0" shapeId="0" xr:uid="{00000000-0006-0000-0100-00000D000000}">
      <text>
        <r>
          <rPr>
            <sz val="11"/>
            <color theme="1"/>
            <rFont val="Calibri"/>
            <scheme val="minor"/>
          </rPr>
          <t>======
ID#AAAByTYQFmM
Andres Mauricio Pino    (2022-01-17 17:16:32)
Se inicia con la prueba piloto de medición de adherencia</t>
        </r>
      </text>
    </comment>
    <comment ref="F131" authorId="0" shapeId="0" xr:uid="{00000000-0006-0000-0100-000016000000}">
      <text>
        <r>
          <rPr>
            <sz val="11"/>
            <color theme="1"/>
            <rFont val="Calibri"/>
            <scheme val="minor"/>
          </rPr>
          <t>======
ID#AAAByTM5pEI
Andres Mauricio Pino    (2022-01-17 17:16:32)
Se realizan ajustes al formato de medición de adherencia incluyendo NA.</t>
        </r>
      </text>
    </comment>
    <comment ref="C132" authorId="0" shapeId="0" xr:uid="{00000000-0006-0000-0100-000012000000}">
      <text>
        <r>
          <rPr>
            <sz val="11"/>
            <color theme="1"/>
            <rFont val="Calibri"/>
            <scheme val="minor"/>
          </rPr>
          <t>======
ID#AAAByTYQFmE
Maria del Socorro Trullo Escobar    (2022-01-17 17:16:32)
NO HUBO PTE COH</t>
        </r>
      </text>
    </comment>
    <comment ref="D132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ID#AAAByTYQFmc
Maria del Socorro Trullo Escobar    (2022-01-17 17:16:32)
NO CUMPLE</t>
        </r>
      </text>
    </comment>
    <comment ref="F132" authorId="0" shapeId="0" xr:uid="{00000000-0006-0000-0100-000015000000}">
      <text>
        <r>
          <rPr>
            <sz val="11"/>
            <color theme="1"/>
            <rFont val="Calibri"/>
            <scheme val="minor"/>
          </rPr>
          <t>======
ID#AAAByTYQFmI
Maria del Socorro Trullo Escobar    (2022-01-17 17:16:32)
NO CUMPLE</t>
        </r>
      </text>
    </comment>
    <comment ref="D133" authorId="0" shapeId="0" xr:uid="{00000000-0006-0000-0100-00000A000000}">
      <text>
        <r>
          <rPr>
            <sz val="11"/>
            <color theme="1"/>
            <rFont val="Calibri"/>
            <scheme val="minor"/>
          </rPr>
          <t>======
ID#AAAByTYQFls
Andres Mauricio Pino    (2022-01-17 17:16:32)
Durante la atención directa con el paciente no se usa la bata a excepción de las actividades que generan salpicaduras.
Uso de bisutería.</t>
        </r>
      </text>
    </comment>
    <comment ref="F133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ID#AAAByTM5pEg
Maria del Socorro Trullo Escobar    (2022-01-17 17:16:32)
NO CUMPLE</t>
        </r>
      </text>
    </comment>
    <comment ref="C134" authorId="0" shapeId="0" xr:uid="{00000000-0006-0000-0100-000014000000}">
      <text>
        <r>
          <rPr>
            <sz val="11"/>
            <color theme="1"/>
            <rFont val="Calibri"/>
            <scheme val="minor"/>
          </rPr>
          <t>======
ID#AAAByTYQFlc
Maria del Socorro Trullo Escobar    (2022-01-17 17:16:32)
NO CUMPLE</t>
        </r>
      </text>
    </comment>
    <comment ref="E134" authorId="0" shapeId="0" xr:uid="{00000000-0006-0000-0100-000008000000}">
      <text>
        <r>
          <rPr>
            <sz val="11"/>
            <color theme="1"/>
            <rFont val="Calibri"/>
            <scheme val="minor"/>
          </rPr>
          <t>======
ID#AAAByTM5pEk
Maria del Socorro Trullo Escobar    (2022-01-17 17:16:32)
NO HUBO PTE</t>
        </r>
      </text>
    </comment>
    <comment ref="F134" authorId="0" shapeId="0" xr:uid="{00000000-0006-0000-0100-000013000000}">
      <text>
        <r>
          <rPr>
            <sz val="11"/>
            <color theme="1"/>
            <rFont val="Calibri"/>
            <scheme val="minor"/>
          </rPr>
          <t>======
ID#AAAByTM5pEM
Maria del Socorro Trullo Escobar    (2022-01-17 17:16:32)
NO CUMPLE</t>
        </r>
      </text>
    </comment>
    <comment ref="E189" authorId="0" shapeId="0" xr:uid="{00000000-0006-0000-0100-000011000000}">
      <text>
        <r>
          <rPr>
            <sz val="11"/>
            <color theme="1"/>
            <rFont val="Calibri"/>
            <scheme val="minor"/>
          </rPr>
          <t>======
ID#AAAByTYQFlo
Maria del Socorro Trullo Escobar    (2022-01-17 17:16:32)
NO CUMPLE</t>
        </r>
      </text>
    </comment>
    <comment ref="G189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ID#AAAByTM5pEY
Maria del Socorro Trullo Escobar    (2022-01-17 17:16:32)
NO HUBO PTE</t>
        </r>
      </text>
    </comment>
    <comment ref="I189" authorId="0" shapeId="0" xr:uid="{00000000-0006-0000-0100-000009000000}">
      <text>
        <r>
          <rPr>
            <sz val="11"/>
            <color theme="1"/>
            <rFont val="Calibri"/>
            <scheme val="minor"/>
          </rPr>
          <t>======
ID#AAAByTYQFmU
Maria del Socorro Trullo Escobar    (2022-01-17 17:16:32)
NO HUBO PTE</t>
        </r>
      </text>
    </comment>
    <comment ref="G190" authorId="0" shapeId="0" xr:uid="{00000000-0006-0000-0100-000018000000}">
      <text>
        <r>
          <rPr>
            <sz val="11"/>
            <color theme="1"/>
            <rFont val="Calibri"/>
            <scheme val="minor"/>
          </rPr>
          <t>======
ID#AAAByTYQFmA
Maria del Socorro Trullo Escobar    (2022-01-17 17:16:32)
NO HUBO PTE</t>
        </r>
      </text>
    </comment>
    <comment ref="I190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ID#AAAByTYQFlU
Maria del Socorro Trullo Escobar    (2022-01-17 17:16:32)
NO CUMPLE</t>
        </r>
      </text>
    </comment>
    <comment ref="G191" authorId="0" shapeId="0" xr:uid="{00000000-0006-0000-0100-00000B000000}">
      <text>
        <r>
          <rPr>
            <sz val="11"/>
            <color theme="1"/>
            <rFont val="Calibri"/>
            <scheme val="minor"/>
          </rPr>
          <t>======
ID#AAAByTYQFl8
Maria del Socorro Trullo Escobar    (2022-01-17 17:16:32)
NO HUBO PTE</t>
        </r>
      </text>
    </comment>
    <comment ref="I191" authorId="0" shapeId="0" xr:uid="{00000000-0006-0000-0100-000017000000}">
      <text>
        <r>
          <rPr>
            <sz val="11"/>
            <color theme="1"/>
            <rFont val="Calibri"/>
            <scheme val="minor"/>
          </rPr>
          <t>======
ID#AAAByTM5pEU
Maria del Socorro Trullo Escobar    (2022-01-17 17:16:32)
NO HUBO PTE</t>
        </r>
      </text>
    </comment>
    <comment ref="J191" authorId="0" shapeId="0" xr:uid="{00000000-0006-0000-0100-00000C000000}">
      <text>
        <r>
          <rPr>
            <sz val="11"/>
            <color theme="1"/>
            <rFont val="Calibri"/>
            <scheme val="minor"/>
          </rPr>
          <t>======
ID#AAAByTYQFlw
Maria del Socorro Trullo Escobar    (2022-01-17 17:16:32)
NO HUBO PTE</t>
        </r>
      </text>
    </comment>
    <comment ref="H192" authorId="0" shapeId="0" xr:uid="{00000000-0006-0000-0100-00000F000000}">
      <text>
        <r>
          <rPr>
            <sz val="11"/>
            <color theme="1"/>
            <rFont val="Calibri"/>
            <scheme val="minor"/>
          </rPr>
          <t>======
ID#AAAByTYQFmQ
Maria del Socorro Trullo Escobar    (2022-01-17 17:16:32)
NO CUMPLE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h03ZNMp27sIbZUzMlH3uAueX7gQ=="/>
    </ext>
  </extLst>
</comments>
</file>

<file path=xl/sharedStrings.xml><?xml version="1.0" encoding="utf-8"?>
<sst xmlns="http://schemas.openxmlformats.org/spreadsheetml/2006/main" count="1164" uniqueCount="145">
  <si>
    <t>CONSOLIDADO DEL PORCENTAJE DEL CUMPLIMIENTO DEL AISLAMIENTO CAC Santa Bàrbara
BD COMITÉ DE INFECCIONES</t>
  </si>
  <si>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</si>
  <si>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</si>
  <si>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</si>
  <si>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</si>
  <si>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</si>
  <si>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</si>
  <si>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</si>
  <si>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</si>
  <si>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</si>
  <si>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</si>
  <si>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</si>
  <si>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</si>
  <si>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</si>
  <si>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</si>
  <si>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META</t>
  </si>
  <si>
    <r>
      <rPr>
        <b/>
        <sz val="20"/>
        <color theme="1"/>
        <rFont val="Calibri"/>
      </rPr>
      <t xml:space="preserve">ADHERENCIA  DE AISLAMIENTO CAC Santa Bàrbara AÑO 2026
</t>
    </r>
    <r>
      <rPr>
        <b/>
        <sz val="10"/>
        <color theme="1"/>
        <rFont val="Calibri"/>
      </rPr>
      <t>BD COMITÉ DE INFECCION</t>
    </r>
  </si>
  <si>
    <t>SERVICIO</t>
  </si>
  <si>
    <t>PROMEDIO</t>
  </si>
  <si>
    <t>OBSERVADOS</t>
  </si>
  <si>
    <t>CUMPLEN</t>
  </si>
  <si>
    <t>INICIA MEDICIÓN febrero 2022</t>
  </si>
  <si>
    <t xml:space="preserve"> % CUMPLIMIENTO 1ER TRIMESTRE</t>
  </si>
  <si>
    <t xml:space="preserve"> % CUMPLIMIENTO 2DO TRIMESTRE</t>
  </si>
  <si>
    <t xml:space="preserve"> % CUMPLIMIENTO 3RO TRIMESTRE</t>
  </si>
  <si>
    <t xml:space="preserve"> % CUMPLIMIENTO 4TO TRIMESTRE</t>
  </si>
  <si>
    <t>No se observo</t>
  </si>
  <si>
    <r>
      <rPr>
        <b/>
        <sz val="20"/>
        <color theme="1"/>
        <rFont val="Calibri"/>
      </rPr>
      <t xml:space="preserve">ADHERENCIA  DE AISLAMIENTO SEGÚN  SERVICIO CAC Santa Bàrbara AÑO 2026
</t>
    </r>
    <r>
      <rPr>
        <b/>
        <sz val="12"/>
        <color theme="1"/>
        <rFont val="Calibri"/>
      </rPr>
      <t>BD COMITÉ DE INFECCION</t>
    </r>
  </si>
  <si>
    <t>promedio I trim</t>
  </si>
  <si>
    <t>promedio II trim</t>
  </si>
  <si>
    <t>promedio III trim</t>
  </si>
  <si>
    <t>promedio IV trim</t>
  </si>
  <si>
    <t xml:space="preserve">HOSPITALIZACIÓN 2 </t>
  </si>
  <si>
    <t>HOSPITALIZACIÓN</t>
  </si>
  <si>
    <t>UCI</t>
  </si>
  <si>
    <t>URGENCIAS</t>
  </si>
  <si>
    <t>ADHERENCIA  DE AISLAMIENTOS SEGÚN  PROFESION  CAC Santa Bárbara AÑO 2026</t>
  </si>
  <si>
    <t>PROFESION</t>
  </si>
  <si>
    <t>AUXILIAR</t>
  </si>
  <si>
    <t>ENFERMERA (O)</t>
  </si>
  <si>
    <t>MEDICO</t>
  </si>
  <si>
    <r>
      <rPr>
        <b/>
        <sz val="11"/>
        <color theme="1"/>
        <rFont val="Calibri"/>
      </rPr>
      <t xml:space="preserve">ADHERENCIA  PROTOCOLO DE AISLAMIENTO SERVICIO DE </t>
    </r>
    <r>
      <rPr>
        <b/>
        <sz val="11"/>
        <color rgb="FFC00000"/>
        <rFont val="Calibri"/>
      </rPr>
      <t>HOSPITALIZACION</t>
    </r>
    <r>
      <rPr>
        <b/>
        <sz val="11"/>
        <color theme="1"/>
        <rFont val="Calibri"/>
      </rPr>
      <t xml:space="preserve"> CACSB 2023 - 2024 -  2025 - 2026
BD COMITÉ DE INFECCION</t>
    </r>
  </si>
  <si>
    <t>ADHERENCIA SEGÚN TIPO DE AISLAMIENTO HOSPITALIZACIÓN CAC Santa Bàrbara AÑO 2024</t>
  </si>
  <si>
    <t>TIPO DE AISLAMIENTO</t>
  </si>
  <si>
    <t>COHORTIZACIÓN</t>
  </si>
  <si>
    <t>CONTACTO</t>
  </si>
  <si>
    <t>GOTAS</t>
  </si>
  <si>
    <t>VIA AEREA</t>
  </si>
  <si>
    <t>NO HUBO</t>
  </si>
  <si>
    <t>ADHERENCIA  AISLAMIENTO  POR TIPO DE PROFESIÓN  HOSPITALIZACIÓN CCA 2025</t>
  </si>
  <si>
    <t>ENFERMERA</t>
  </si>
  <si>
    <t>FISIOTERAPEUTA</t>
  </si>
  <si>
    <r>
      <rPr>
        <b/>
        <sz val="11"/>
        <color theme="1"/>
        <rFont val="Calibri"/>
      </rPr>
      <t xml:space="preserve">ADHERENCIA  PROTOCOLO DE AISLAMIENTO SERVICIO DE </t>
    </r>
    <r>
      <rPr>
        <b/>
        <sz val="11"/>
        <color rgb="FFC00000"/>
        <rFont val="Calibri"/>
      </rPr>
      <t>UCI</t>
    </r>
    <r>
      <rPr>
        <b/>
        <sz val="11"/>
        <color theme="1"/>
        <rFont val="Calibri"/>
      </rPr>
      <t xml:space="preserve"> CACSB 2023 - 2024
BD COMITÉ DE INFECCION</t>
    </r>
  </si>
  <si>
    <t>ADHERENCIA SEGÚN  TIPO DE AISLAMIENTO UCI CAC Santa Bàrbara AÑO 2025</t>
  </si>
  <si>
    <t>ADHERENCIA AISLAMIENTO  POR TIPO DE PROFESIÓN  UCI CCA 2025</t>
  </si>
  <si>
    <t>REHABILITACION</t>
  </si>
  <si>
    <r>
      <rPr>
        <b/>
        <sz val="11"/>
        <color theme="1"/>
        <rFont val="Calibri"/>
      </rPr>
      <t xml:space="preserve">ADHERENCIA  PROTOCOLO DE AISLAMIENTO SERVICIO DE </t>
    </r>
    <r>
      <rPr>
        <b/>
        <sz val="11"/>
        <color rgb="FFC00000"/>
        <rFont val="Calibri"/>
      </rPr>
      <t>URGENCIAS</t>
    </r>
    <r>
      <rPr>
        <b/>
        <sz val="11"/>
        <color theme="1"/>
        <rFont val="Calibri"/>
      </rPr>
      <t xml:space="preserve"> CACSB 2023 - 2024 -2025
BD COMITÉ DE INFECCION</t>
    </r>
  </si>
  <si>
    <t>SUPERVISION DE AISLAMIENTOS POR URGENCIAS CAC Santa Bàrbara AÑO 2024</t>
  </si>
  <si>
    <t>ADHERENCIA PROTOCOLO DE  AISLAMIENTO  POR TIPO DE PROFESIÓN  URGENCIAS CCA 2024</t>
  </si>
  <si>
    <t>SOLO SE SUPERVISA  AL AUXILIAR  DE ENFERMERIA</t>
  </si>
  <si>
    <t>ADHERENCIA  DE AISLAMIENTO SEGÚN 
 SERVICIO CAC Santa Bàrbara AÑO 2024</t>
  </si>
  <si>
    <t>NUMERO DE ADHERENCIA S (NUMERADOR)</t>
  </si>
  <si>
    <t>NUMERO TOTAL DE OBSERVACIONES POR SERVICIO (DENOMINADOR)</t>
  </si>
  <si>
    <t xml:space="preserve">PORCENTAJE ADHERENCIA </t>
  </si>
  <si>
    <t>FECHA</t>
  </si>
  <si>
    <t>PROFESIONAL</t>
  </si>
  <si>
    <t>TIENE AFICHE</t>
  </si>
  <si>
    <t>BISUTERIA</t>
  </si>
  <si>
    <t>HIGIENE DE MANOS PREVIO</t>
  </si>
  <si>
    <t>USO DE BATA</t>
  </si>
  <si>
    <t>TIPO DE TAPABOCA</t>
  </si>
  <si>
    <t>USO DE GORRO</t>
  </si>
  <si>
    <t>USO DE GUANTE</t>
  </si>
  <si>
    <t>CUELGA BATA</t>
  </si>
  <si>
    <t>HIGIENE DE MANOS DESPUÉS</t>
  </si>
  <si>
    <t xml:space="preserve">ADHERENCIA </t>
  </si>
  <si>
    <t>NOMBRE EVALUADO</t>
  </si>
  <si>
    <t>OBSERVACION</t>
  </si>
  <si>
    <t>ADHERENCIA  GENERAL HOSPITALIZACIÓN 2</t>
  </si>
  <si>
    <t>SI</t>
  </si>
  <si>
    <t>NO</t>
  </si>
  <si>
    <t>QUIRURGICO</t>
  </si>
  <si>
    <t>claudia gil</t>
  </si>
  <si>
    <t>BISUTERÍA</t>
  </si>
  <si>
    <t>BATA PUÑO</t>
  </si>
  <si>
    <t>ADHERENCIA  GENERAL HOSPITALIZACIÓN</t>
  </si>
  <si>
    <t xml:space="preserve">andres londoño </t>
  </si>
  <si>
    <t>ADHERENCIA GENERAL UCI</t>
  </si>
  <si>
    <t>NA</t>
  </si>
  <si>
    <t>ALTA EFICIENCIA</t>
  </si>
  <si>
    <t>john paredes</t>
  </si>
  <si>
    <t>ADHERENCIA GENERAL URGENCIAS</t>
  </si>
  <si>
    <t>NO CUMPLE</t>
  </si>
  <si>
    <t>TOTAL</t>
  </si>
  <si>
    <t xml:space="preserve">ALEXANDRA CALVO </t>
  </si>
  <si>
    <t xml:space="preserve">JULIAN CUELLAR </t>
  </si>
  <si>
    <t>ADHERENCIA DE AISLAMIENTO POR TIPO DE PROFESIÓN GENERAL CAC Santa Bàrbara</t>
  </si>
  <si>
    <t>BRANDON CHAMORRO</t>
  </si>
  <si>
    <t>CI 4</t>
  </si>
  <si>
    <t>JUAN MEDINA</t>
  </si>
  <si>
    <t xml:space="preserve">JUAN GOMEZ </t>
  </si>
  <si>
    <t>MEDICO ESP</t>
  </si>
  <si>
    <t xml:space="preserve">BRANDO CHAMORRO </t>
  </si>
  <si>
    <t xml:space="preserve">WILSON RAMIREZ </t>
  </si>
  <si>
    <t>DAVID BRAVO</t>
  </si>
  <si>
    <t>ADHERENCIA POR TIPO DE AISLAMIENTO HOSPITALIZACIÓN</t>
  </si>
  <si>
    <t>VIVIAN ASPRILLA</t>
  </si>
  <si>
    <t xml:space="preserve">JANNER CASTAÑO </t>
  </si>
  <si>
    <t>ANGELA VALLEJO</t>
  </si>
  <si>
    <t>MARIA TORO</t>
  </si>
  <si>
    <t>LISA LONDOÑO</t>
  </si>
  <si>
    <t xml:space="preserve">LAWRENCE DOMINGUEZ </t>
  </si>
  <si>
    <t>ADHERENCIA POR TIPO DE PROFESIÓN HOSPITALIZACIÓN</t>
  </si>
  <si>
    <t xml:space="preserve"> ENFERMERA (O)</t>
  </si>
  <si>
    <t>GUSTAVO VASQUEZ</t>
  </si>
  <si>
    <t>19/01/1016</t>
  </si>
  <si>
    <t xml:space="preserve">EVELYN OBREGON </t>
  </si>
  <si>
    <t xml:space="preserve">MARIANA LOPEZ </t>
  </si>
  <si>
    <t xml:space="preserve">ANA MARIA VARELA </t>
  </si>
  <si>
    <t>STEFFANNI ORTIZ</t>
  </si>
  <si>
    <t>NUTRICIONISTA</t>
  </si>
  <si>
    <t xml:space="preserve">LAURA CABAL </t>
  </si>
  <si>
    <t>ADHERENCIA POR TIPO DE AISLAMIENTO UCI</t>
  </si>
  <si>
    <t>ANDRES TAFUR</t>
  </si>
  <si>
    <t xml:space="preserve">JULIANA CEDEÑO </t>
  </si>
  <si>
    <t xml:space="preserve">DAVID BRAVO </t>
  </si>
  <si>
    <t xml:space="preserve">YULIZA BEJARANO </t>
  </si>
  <si>
    <t>DILAN MONTOYA</t>
  </si>
  <si>
    <t xml:space="preserve">ROSA APARICIO </t>
  </si>
  <si>
    <t>ADHERENCIA POR TIPO DE PROFESIÓN UCI</t>
  </si>
  <si>
    <t xml:space="preserve">JOSE PIMENTEL </t>
  </si>
  <si>
    <t xml:space="preserve">GUSTAVO CANIZALES </t>
  </si>
  <si>
    <t>CRISTI CONTRERAS</t>
  </si>
  <si>
    <t>ANDRES GUTIERREZ</t>
  </si>
  <si>
    <t>GREISY VARELA</t>
  </si>
  <si>
    <t>ADHERENCIA POR TIPO DE AISLAMIENTO URGENCIAS</t>
  </si>
  <si>
    <t>VANESA HERNANDES</t>
  </si>
  <si>
    <t>JOSE MANZANO</t>
  </si>
  <si>
    <t xml:space="preserve">MARIANA JARAMILLO </t>
  </si>
  <si>
    <t>701A</t>
  </si>
  <si>
    <t>ADHERENCIA POR TIPO DE PROFESIÓN URGENCIAS</t>
  </si>
  <si>
    <t>INTERNO</t>
  </si>
  <si>
    <t>#REF!</t>
  </si>
  <si>
    <t>TERAPEUTA RESPIRATORIO</t>
  </si>
  <si>
    <t>MEDICO ESPECIALISTA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</si>
</sst>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/yyyy"/>
    <numFmt numFmtId="166" formatCode="d/m/yyyy"/>
  </numFmts>
  <fonts count="25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20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2"/>
      <color theme="1"/>
      <name val="Calibri"/>
    </font>
    <font>
      <sz val="8"/>
      <color theme="1"/>
      <name val="Calibri"/>
    </font>
    <font>
      <b/>
      <sz val="8"/>
      <color theme="1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sz val="18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990000"/>
      <name val="Calibri"/>
    </font>
    <font>
      <b/>
      <sz val="11"/>
      <color rgb="FF993300"/>
      <name val="Calibri"/>
    </font>
    <font>
      <sz val="11"/>
      <color rgb="FF222222"/>
      <name val="Calibri"/>
    </font>
    <font>
      <sz val="11"/>
      <color rgb="FF008000"/>
      <name val="Calibri"/>
    </font>
    <font>
      <sz val="11"/>
      <color rgb="FF2E2E2E"/>
      <name val="&quot;Source Sans Pro&quot;"/>
    </font>
    <font>
      <b/>
      <sz val="10"/>
      <color theme="1"/>
      <name val="Calibri"/>
    </font>
    <font>
      <b/>
      <sz val="11"/>
      <color rgb="FFC00000"/>
      <name val="Calibri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8DB3E2"/>
        <bgColor rgb="FF8DB3E2"/>
      </patternFill>
    </fill>
    <fill>
      <patternFill patternType="solid">
        <fgColor rgb="FFF2DBDB"/>
        <bgColor rgb="FFF2DBDB"/>
      </patternFill>
    </fill>
    <fill>
      <patternFill patternType="solid">
        <fgColor rgb="FF00CCFF"/>
        <bgColor rgb="FF00CCFF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31859B"/>
        <bgColor rgb="FF31859B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A5A5A5"/>
        <bgColor rgb="FFA5A5A5"/>
      </patternFill>
    </fill>
    <fill>
      <patternFill patternType="solid">
        <fgColor rgb="FF95B3D7"/>
        <bgColor rgb="FF95B3D7"/>
      </patternFill>
    </fill>
    <fill>
      <patternFill patternType="solid">
        <fgColor rgb="FFBFBFBF"/>
        <bgColor rgb="FFBFBFBF"/>
      </patternFill>
    </fill>
    <fill>
      <patternFill patternType="solid">
        <fgColor theme="8"/>
        <bgColor theme="8"/>
      </patternFill>
    </fill>
    <fill>
      <patternFill patternType="solid">
        <fgColor rgb="FFEA9999"/>
        <bgColor rgb="FFEA9999"/>
      </patternFill>
    </fill>
    <fill>
      <patternFill patternType="solid">
        <fgColor rgb="FFFFCC00"/>
        <bgColor rgb="FFFFCC00"/>
      </patternFill>
    </fill>
    <fill>
      <patternFill patternType="solid">
        <fgColor rgb="FF99CC00"/>
        <bgColor rgb="FF99CC00"/>
      </patternFill>
    </fill>
    <fill>
      <patternFill patternType="solid">
        <fgColor rgb="FFCCFFCC"/>
        <bgColor rgb="FFCCFFCC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C5C5C5"/>
      </left>
      <right/>
      <top/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5" fillId="5" borderId="4" xfId="0" applyFont="1" applyFill="1" applyBorder="1"/>
    <xf numFmtId="17" fontId="5" fillId="5" borderId="4" xfId="0" applyNumberFormat="1" applyFont="1" applyFill="1" applyBorder="1"/>
    <xf numFmtId="17" fontId="5" fillId="5" borderId="4" xfId="0" applyNumberFormat="1" applyFont="1" applyFill="1" applyBorder="1" applyAlignment="1">
      <alignment horizontal="center" vertical="center"/>
    </xf>
    <xf numFmtId="0" fontId="6" fillId="0" borderId="0" xfId="0" applyFont="1"/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64" fontId="6" fillId="0" borderId="4" xfId="0" applyNumberFormat="1" applyFont="1" applyBorder="1"/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6" fillId="0" borderId="4" xfId="0" applyNumberFormat="1" applyFont="1" applyBorder="1"/>
    <xf numFmtId="0" fontId="8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9" fontId="1" fillId="6" borderId="4" xfId="0" applyNumberFormat="1" applyFont="1" applyFill="1" applyBorder="1" applyAlignment="1">
      <alignment horizontal="center" vertical="center"/>
    </xf>
    <xf numFmtId="9" fontId="6" fillId="0" borderId="6" xfId="0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 wrapText="1"/>
    </xf>
    <xf numFmtId="0" fontId="1" fillId="7" borderId="0" xfId="0" applyFont="1" applyFill="1" applyAlignment="1">
      <alignment horizontal="center" vertical="center" wrapText="1"/>
    </xf>
    <xf numFmtId="0" fontId="10" fillId="7" borderId="0" xfId="0" applyFont="1" applyFill="1"/>
    <xf numFmtId="0" fontId="7" fillId="8" borderId="7" xfId="0" applyFont="1" applyFill="1" applyBorder="1"/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7" fillId="9" borderId="4" xfId="0" applyFont="1" applyFill="1" applyBorder="1" applyAlignment="1">
      <alignment horizontal="center" vertical="center" wrapText="1"/>
    </xf>
    <xf numFmtId="9" fontId="11" fillId="9" borderId="4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 wrapText="1"/>
    </xf>
    <xf numFmtId="9" fontId="11" fillId="10" borderId="4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11" borderId="4" xfId="0" applyFont="1" applyFill="1" applyBorder="1" applyAlignment="1">
      <alignment horizontal="center" vertical="center" wrapText="1"/>
    </xf>
    <xf numFmtId="9" fontId="11" fillId="11" borderId="4" xfId="0" applyNumberFormat="1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 wrapText="1"/>
    </xf>
    <xf numFmtId="9" fontId="11" fillId="12" borderId="4" xfId="0" applyNumberFormat="1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4" xfId="0" applyFont="1" applyFill="1" applyBorder="1"/>
    <xf numFmtId="17" fontId="1" fillId="5" borderId="4" xfId="0" applyNumberFormat="1" applyFont="1" applyFill="1" applyBorder="1"/>
    <xf numFmtId="17" fontId="1" fillId="5" borderId="4" xfId="0" applyNumberFormat="1" applyFont="1" applyFill="1" applyBorder="1" applyAlignment="1">
      <alignment horizontal="center" vertical="center"/>
    </xf>
    <xf numFmtId="17" fontId="1" fillId="5" borderId="5" xfId="0" applyNumberFormat="1" applyFont="1" applyFill="1" applyBorder="1" applyAlignment="1">
      <alignment horizontal="center" vertical="center"/>
    </xf>
    <xf numFmtId="0" fontId="1" fillId="14" borderId="4" xfId="0" applyFont="1" applyFill="1" applyBorder="1"/>
    <xf numFmtId="0" fontId="1" fillId="15" borderId="4" xfId="0" applyFont="1" applyFill="1" applyBorder="1"/>
    <xf numFmtId="0" fontId="1" fillId="16" borderId="9" xfId="0" applyFont="1" applyFill="1" applyBorder="1"/>
    <xf numFmtId="0" fontId="1" fillId="5" borderId="4" xfId="0" applyFont="1" applyFill="1" applyBorder="1" applyAlignment="1">
      <alignment horizontal="center"/>
    </xf>
    <xf numFmtId="17" fontId="1" fillId="17" borderId="4" xfId="0" applyNumberFormat="1" applyFont="1" applyFill="1" applyBorder="1"/>
    <xf numFmtId="0" fontId="1" fillId="5" borderId="4" xfId="0" applyFont="1" applyFill="1" applyBorder="1" applyAlignment="1">
      <alignment horizontal="left" vertical="center"/>
    </xf>
    <xf numFmtId="9" fontId="3" fillId="0" borderId="0" xfId="0" applyNumberFormat="1" applyFont="1"/>
    <xf numFmtId="9" fontId="1" fillId="14" borderId="4" xfId="0" applyNumberFormat="1" applyFont="1" applyFill="1" applyBorder="1"/>
    <xf numFmtId="9" fontId="3" fillId="14" borderId="4" xfId="0" applyNumberFormat="1" applyFont="1" applyFill="1" applyBorder="1"/>
    <xf numFmtId="1" fontId="1" fillId="18" borderId="4" xfId="0" applyNumberFormat="1" applyFont="1" applyFill="1" applyBorder="1"/>
    <xf numFmtId="9" fontId="3" fillId="0" borderId="4" xfId="0" applyNumberFormat="1" applyFont="1" applyBorder="1"/>
    <xf numFmtId="1" fontId="1" fillId="19" borderId="4" xfId="0" applyNumberFormat="1" applyFont="1" applyFill="1" applyBorder="1"/>
    <xf numFmtId="0" fontId="1" fillId="0" borderId="4" xfId="0" applyFont="1" applyBorder="1"/>
    <xf numFmtId="0" fontId="3" fillId="0" borderId="4" xfId="0" applyFont="1" applyBorder="1"/>
    <xf numFmtId="0" fontId="1" fillId="0" borderId="4" xfId="0" applyFont="1" applyBorder="1" applyAlignment="1">
      <alignment horizontal="left" vertical="center"/>
    </xf>
    <xf numFmtId="9" fontId="3" fillId="0" borderId="0" xfId="0" applyNumberFormat="1" applyFont="1" applyAlignment="1">
      <alignment horizontal="center" vertical="center"/>
    </xf>
    <xf numFmtId="9" fontId="1" fillId="19" borderId="8" xfId="0" applyNumberFormat="1" applyFont="1" applyFill="1" applyBorder="1"/>
    <xf numFmtId="0" fontId="3" fillId="0" borderId="0" xfId="0" applyFont="1"/>
    <xf numFmtId="1" fontId="1" fillId="11" borderId="4" xfId="0" applyNumberFormat="1" applyFont="1" applyFill="1" applyBorder="1"/>
    <xf numFmtId="1" fontId="1" fillId="20" borderId="4" xfId="0" applyNumberFormat="1" applyFont="1" applyFill="1" applyBorder="1"/>
    <xf numFmtId="9" fontId="5" fillId="0" borderId="6" xfId="0" applyNumberFormat="1" applyFont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13" fillId="5" borderId="14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wrapText="1"/>
    </xf>
    <xf numFmtId="0" fontId="1" fillId="21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14" fontId="3" fillId="0" borderId="15" xfId="0" applyNumberFormat="1" applyFont="1" applyBorder="1" applyAlignment="1">
      <alignment horizontal="right" wrapText="1"/>
    </xf>
    <xf numFmtId="0" fontId="3" fillId="0" borderId="16" xfId="0" applyFont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vertical="center" wrapText="1"/>
    </xf>
    <xf numFmtId="0" fontId="3" fillId="0" borderId="15" xfId="0" applyFont="1" applyBorder="1" applyAlignment="1">
      <alignment wrapText="1"/>
    </xf>
    <xf numFmtId="0" fontId="14" fillId="5" borderId="14" xfId="0" applyFont="1" applyFill="1" applyBorder="1" applyAlignment="1">
      <alignment horizontal="left"/>
    </xf>
    <xf numFmtId="0" fontId="3" fillId="0" borderId="4" xfId="0" applyFont="1" applyBorder="1" applyAlignment="1">
      <alignment horizontal="center" vertical="center" wrapText="1"/>
    </xf>
    <xf numFmtId="9" fontId="1" fillId="0" borderId="7" xfId="0" applyNumberFormat="1" applyFont="1" applyBorder="1" applyAlignment="1">
      <alignment horizontal="center" vertical="center" wrapText="1"/>
    </xf>
    <xf numFmtId="0" fontId="15" fillId="22" borderId="17" xfId="0" applyFont="1" applyFill="1" applyBorder="1" applyAlignment="1">
      <alignment horizontal="center"/>
    </xf>
    <xf numFmtId="0" fontId="14" fillId="5" borderId="14" xfId="0" applyFont="1" applyFill="1" applyBorder="1" applyAlignment="1">
      <alignment horizontal="right"/>
    </xf>
    <xf numFmtId="9" fontId="3" fillId="0" borderId="4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9" fontId="16" fillId="0" borderId="0" xfId="0" applyNumberFormat="1" applyFont="1" applyAlignment="1">
      <alignment horizontal="center"/>
    </xf>
    <xf numFmtId="0" fontId="3" fillId="0" borderId="15" xfId="0" applyFont="1" applyBorder="1" applyAlignment="1">
      <alignment horizontal="right" vertical="center" wrapText="1"/>
    </xf>
    <xf numFmtId="0" fontId="13" fillId="5" borderId="4" xfId="0" applyFont="1" applyFill="1" applyBorder="1" applyAlignment="1">
      <alignment horizontal="left"/>
    </xf>
    <xf numFmtId="165" fontId="3" fillId="0" borderId="15" xfId="0" applyNumberFormat="1" applyFont="1" applyBorder="1" applyAlignment="1">
      <alignment horizontal="right" wrapText="1"/>
    </xf>
    <xf numFmtId="0" fontId="13" fillId="7" borderId="0" xfId="0" applyFont="1" applyFill="1" applyAlignment="1">
      <alignment horizontal="left"/>
    </xf>
    <xf numFmtId="9" fontId="1" fillId="7" borderId="0" xfId="0" applyNumberFormat="1" applyFont="1" applyFill="1" applyAlignment="1">
      <alignment horizontal="center" vertical="center"/>
    </xf>
    <xf numFmtId="0" fontId="13" fillId="0" borderId="7" xfId="0" applyFont="1" applyBorder="1" applyAlignment="1">
      <alignment horizontal="left"/>
    </xf>
    <xf numFmtId="9" fontId="1" fillId="0" borderId="4" xfId="0" applyNumberFormat="1" applyFont="1" applyBorder="1" applyAlignment="1">
      <alignment horizontal="center"/>
    </xf>
    <xf numFmtId="0" fontId="13" fillId="23" borderId="4" xfId="0" applyFont="1" applyFill="1" applyBorder="1" applyAlignment="1">
      <alignment horizontal="left"/>
    </xf>
    <xf numFmtId="0" fontId="13" fillId="24" borderId="4" xfId="0" applyFont="1" applyFill="1" applyBorder="1" applyAlignment="1">
      <alignment horizontal="left"/>
    </xf>
    <xf numFmtId="0" fontId="13" fillId="10" borderId="4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3" fillId="0" borderId="22" xfId="0" applyFont="1" applyBorder="1" applyAlignment="1">
      <alignment vertical="center" wrapText="1"/>
    </xf>
    <xf numFmtId="0" fontId="3" fillId="0" borderId="18" xfId="0" applyFont="1" applyBorder="1" applyAlignment="1">
      <alignment horizontal="center" wrapText="1"/>
    </xf>
    <xf numFmtId="0" fontId="3" fillId="0" borderId="22" xfId="0" applyFont="1" applyBorder="1" applyAlignment="1">
      <alignment wrapText="1"/>
    </xf>
    <xf numFmtId="0" fontId="13" fillId="0" borderId="21" xfId="0" applyFont="1" applyBorder="1" applyAlignment="1">
      <alignment horizontal="center"/>
    </xf>
    <xf numFmtId="9" fontId="16" fillId="0" borderId="4" xfId="0" applyNumberFormat="1" applyFont="1" applyBorder="1" applyAlignment="1">
      <alignment horizontal="center"/>
    </xf>
    <xf numFmtId="14" fontId="3" fillId="0" borderId="15" xfId="0" applyNumberFormat="1" applyFont="1" applyBorder="1" applyAlignment="1">
      <alignment horizontal="center" wrapText="1"/>
    </xf>
    <xf numFmtId="0" fontId="17" fillId="7" borderId="22" xfId="0" applyFont="1" applyFill="1" applyBorder="1" applyAlignment="1">
      <alignment wrapText="1"/>
    </xf>
    <xf numFmtId="165" fontId="3" fillId="0" borderId="15" xfId="0" applyNumberFormat="1" applyFont="1" applyBorder="1" applyAlignment="1">
      <alignment wrapText="1"/>
    </xf>
    <xf numFmtId="166" fontId="3" fillId="0" borderId="15" xfId="0" applyNumberFormat="1" applyFont="1" applyBorder="1" applyAlignment="1">
      <alignment wrapText="1"/>
    </xf>
    <xf numFmtId="166" fontId="3" fillId="0" borderId="15" xfId="0" applyNumberFormat="1" applyFont="1" applyBorder="1" applyAlignment="1">
      <alignment horizontal="right" wrapText="1"/>
    </xf>
    <xf numFmtId="0" fontId="18" fillId="25" borderId="17" xfId="0" applyFont="1" applyFill="1" applyBorder="1" applyAlignment="1">
      <alignment horizontal="center"/>
    </xf>
    <xf numFmtId="0" fontId="3" fillId="0" borderId="15" xfId="0" applyFont="1" applyBorder="1" applyAlignment="1">
      <alignment horizontal="right" wrapText="1"/>
    </xf>
    <xf numFmtId="0" fontId="3" fillId="0" borderId="18" xfId="0" applyFont="1" applyBorder="1" applyAlignment="1">
      <alignment wrapText="1"/>
    </xf>
    <xf numFmtId="0" fontId="3" fillId="8" borderId="18" xfId="0" applyFont="1" applyFill="1" applyBorder="1" applyAlignment="1">
      <alignment wrapText="1"/>
    </xf>
    <xf numFmtId="14" fontId="3" fillId="0" borderId="22" xfId="0" applyNumberFormat="1" applyFont="1" applyBorder="1" applyAlignment="1">
      <alignment horizontal="right" wrapText="1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wrapText="1"/>
    </xf>
    <xf numFmtId="0" fontId="3" fillId="8" borderId="23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wrapText="1"/>
    </xf>
    <xf numFmtId="0" fontId="3" fillId="0" borderId="2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19" fillId="7" borderId="8" xfId="0" applyFont="1" applyFill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10" fillId="0" borderId="0" xfId="0" applyFont="1" applyAlignment="1">
      <alignment horizontal="right" wrapText="1"/>
    </xf>
    <xf numFmtId="0" fontId="3" fillId="23" borderId="23" xfId="0" applyFont="1" applyFill="1" applyBorder="1" applyAlignment="1">
      <alignment horizontal="center" vertical="center" wrapText="1"/>
    </xf>
    <xf numFmtId="0" fontId="3" fillId="10" borderId="23" xfId="0" applyFont="1" applyFill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right"/>
    </xf>
    <xf numFmtId="0" fontId="3" fillId="0" borderId="21" xfId="0" applyFont="1" applyBorder="1"/>
    <xf numFmtId="0" fontId="3" fillId="0" borderId="21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4" fillId="4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14" fillId="4" borderId="19" xfId="0" applyFont="1" applyFill="1" applyBorder="1" applyAlignment="1">
      <alignment horizontal="left"/>
    </xf>
    <xf numFmtId="0" fontId="2" fillId="0" borderId="20" xfId="0" applyFont="1" applyBorder="1"/>
    <xf numFmtId="0" fontId="2" fillId="0" borderId="2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9" fontId="1" fillId="16" borderId="10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1" fillId="16" borderId="10" xfId="0" applyFont="1" applyFill="1" applyBorder="1" applyAlignment="1">
      <alignment horizontal="center" wrapText="1"/>
    </xf>
    <xf numFmtId="0" fontId="4" fillId="5" borderId="13" xfId="0" applyFont="1" applyFill="1" applyBorder="1" applyAlignment="1">
      <alignment horizontal="center" vertical="center"/>
    </xf>
    <xf numFmtId="0" fontId="22" fillId="0" borderId="0" xfId="0" applyFont="1"/>
    <xf numFmtId="0" fontId="23" fillId="0" borderId="8" xfId="0" applyFont="1" applyBorder="1"/>
    <xf numFmtId="0" fontId="24" fillId="0" borderId="8" xfId="0" applyFont="1" applyBorder="1"/>
    <xf numFmtId="0" fontId="24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42"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B6DDE8"/>
          <bgColor rgb="FFB6DDE8"/>
        </patternFill>
      </fill>
    </dxf>
    <dxf>
      <font>
        <color rgb="FF993300"/>
      </font>
      <fill>
        <patternFill patternType="none"/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8080"/>
          <bgColor rgb="FFFF808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FF8080"/>
          <bgColor rgb="FFFF808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FF8080"/>
          <bgColor rgb="FFFF808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8080"/>
          <bgColor rgb="FFFF8080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99594"/>
          <bgColor rgb="FFD9959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customschemas.google.com/relationships/workbookmetadata" Target="metadata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23" Type="http://schemas.openxmlformats.org/officeDocument/2006/relationships/styles" Target="styles.xml"/><Relationship Id="rId4" Type="http://schemas.openxmlformats.org/officeDocument/2006/relationships/worksheet" Target="worksheets/sheet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+mn-lt"/>
              </a:defRPr>
            </a:pPr>
            <a:r>
              <a:rPr lang="es-CO" sz="1800" b="1" i="0">
                <a:solidFill>
                  <a:srgbClr val="000000"/>
                </a:solidFill>
                <a:latin typeface="+mn-lt"/>
              </a:rPr>
              <a:t>CONSOLIDADO DEL PORCENTAJE DEL CUMPLIMIENTO DEL AISLAMIENTO CAC Santa Bárbara años 2025  2026
BD COMITÉ DE INFECCIONES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6244974937680529E-2"/>
          <c:y val="0.28305979293840905"/>
          <c:w val="0.91298806263862908"/>
          <c:h val="0.51114056918724304"/>
        </c:manualLayout>
      </c:layout>
      <c:barChart>
        <c:barDir val="col"/>
        <c:grouping val="clustered"/>
        <c:varyColors val="1"/>
        <c:ser>
          <c:idx val="0"/>
          <c:order val="0"/>
          <c:tx>
            <c:v>2025</c:v>
          </c:tx>
          <c:spPr>
            <a:solidFill>
              <a:srgbClr val="B7B7B7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587-44B3-9B47-B90C601C28D1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0587-44B3-9B47-B90C601C28D1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0587-44B3-9B47-B90C601C28D1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0587-44B3-9B47-B90C601C28D1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0587-44B3-9B47-B90C601C28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CONSOLIDADO!$B$4:$M$4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CONSOLIDADO!$B$8:$M$8</c:f>
              <c:numCache>
                <c:formatCode>0%</c:formatCode>
                <c:ptCount val="12"/>
                <c:pt idx="0">
                  <c:v>0.83</c:v>
                </c:pt>
                <c:pt idx="1">
                  <c:v>0.84</c:v>
                </c:pt>
                <c:pt idx="2">
                  <c:v>0.8</c:v>
                </c:pt>
                <c:pt idx="3">
                  <c:v>0.83</c:v>
                </c:pt>
                <c:pt idx="4">
                  <c:v>0.83</c:v>
                </c:pt>
                <c:pt idx="5">
                  <c:v>0.81</c:v>
                </c:pt>
                <c:pt idx="6">
                  <c:v>0.83</c:v>
                </c:pt>
                <c:pt idx="7">
                  <c:v>0.85</c:v>
                </c:pt>
                <c:pt idx="8">
                  <c:v>0.84</c:v>
                </c:pt>
                <c:pt idx="9">
                  <c:v>0.87</c:v>
                </c:pt>
                <c:pt idx="10">
                  <c:v>0.8</c:v>
                </c:pt>
                <c:pt idx="11">
                  <c:v>0.82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FFFFFF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587-44B3-9B47-B90C601C28D1}"/>
            </c:ext>
          </c:extLst>
        </c:ser>
        <c:ser>
          <c:idx val="1"/>
          <c:order val="1"/>
          <c:tx>
            <c:v>2026</c:v>
          </c:tx>
          <c:spPr>
            <a:solidFill>
              <a:srgbClr val="0070C0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0587-44B3-9B47-B90C601C28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CONSOLIDADO!$B$4:$M$4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CONSOLIDADO!$B$9:$M$9</c:f>
              <c:numCache>
                <c:formatCode>0%</c:formatCode>
                <c:ptCount val="12"/>
                <c:pt idx="0">
                  <c:v>0.85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FFFFFF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0587-44B3-9B47-B90C601C28D1}"/>
            </c:ext>
          </c:extLst>
        </c:ser>
        <c:ser>
          <c:idx val="2"/>
          <c:order val="2"/>
          <c:tx>
            <c:v>META</c:v>
          </c:tx>
          <c:spPr>
            <a:solidFill>
              <a:srgbClr val="FFFFFF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0587-44B3-9B47-B90C601C28D1}"/>
              </c:ext>
            </c:extLst>
          </c:dPt>
          <c:trendline>
            <c:name>Linear (META)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CONSOLIDADO!$B$4:$M$4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CONSOLIDADO!$B$19:$M$19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FFFFFF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0587-44B3-9B47-B90C601C2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2204205"/>
        <c:axId val="36227580"/>
      </c:barChart>
      <c:catAx>
        <c:axId val="942204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6227580"/>
        <c:crosses val="autoZero"/>
        <c:auto val="1"/>
        <c:lblAlgn val="ctr"/>
        <c:lblOffset val="100"/>
        <c:noMultiLvlLbl val="1"/>
      </c:catAx>
      <c:valAx>
        <c:axId val="3622758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94220420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r>
              <a:rPr sz="1400" b="1" i="0">
                <a:solidFill>
                  <a:srgbClr val="000000"/>
                </a:solidFill>
                <a:latin typeface="+mn-lt"/>
              </a:rPr>
              <a:t>ADHERENCIA SEGÚN TIPO DE AISLAMIENTO HOSPITALIZACIÓN CAC Santa Bàrbara AÑO 2023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'CUMPLIMIENTO 2026'!$B$75:$D$75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'CUMPLIMIENTO 2026'!$B$76:$D$76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590-4453-B76B-60A2AF1EBD37}"/>
            </c:ext>
          </c:extLst>
        </c:ser>
        <c:ser>
          <c:idx val="1"/>
          <c:order val="1"/>
          <c:invertIfNegative val="1"/>
          <c:cat>
            <c:strRef>
              <c:f>'CUMPLIMIENTO 2026'!$B$75:$D$75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'CUMPLIMIENTO 2026'!$B$77:$D$77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90-4453-B76B-60A2AF1EBD37}"/>
            </c:ext>
          </c:extLst>
        </c:ser>
        <c:ser>
          <c:idx val="2"/>
          <c:order val="2"/>
          <c:invertIfNegative val="1"/>
          <c:cat>
            <c:strRef>
              <c:f>'CUMPLIMIENTO 2026'!$B$75:$D$75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'CUMPLIMIENTO 2026'!$B$78:$D$78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90-4453-B76B-60A2AF1EBD37}"/>
            </c:ext>
          </c:extLst>
        </c:ser>
        <c:ser>
          <c:idx val="3"/>
          <c:order val="3"/>
          <c:invertIfNegative val="1"/>
          <c:cat>
            <c:strRef>
              <c:f>'CUMPLIMIENTO 2026'!$B$75:$D$75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'CUMPLIMIENTO 2026'!$B$79:$D$79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90-4453-B76B-60A2AF1EBD37}"/>
            </c:ext>
          </c:extLst>
        </c:ser>
        <c:ser>
          <c:idx val="4"/>
          <c:order val="4"/>
          <c:invertIfNegative val="1"/>
          <c:cat>
            <c:strRef>
              <c:f>'CUMPLIMIENTO 2026'!$B$75:$D$75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'CUMPLIMIENTO 2026'!$B$80:$D$80</c:f>
              <c:numCache>
                <c:formatCode>0%</c:formatCode>
                <c:ptCount val="3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90-4453-B76B-60A2AF1EB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1728536"/>
        <c:axId val="954254908"/>
      </c:barChart>
      <c:catAx>
        <c:axId val="1381728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954254908"/>
        <c:crosses val="autoZero"/>
        <c:auto val="1"/>
        <c:lblAlgn val="ctr"/>
        <c:lblOffset val="100"/>
        <c:noMultiLvlLbl val="1"/>
      </c:catAx>
      <c:valAx>
        <c:axId val="954254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8172853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r>
              <a:rPr sz="1400" b="1" i="0">
                <a:solidFill>
                  <a:srgbClr val="000000"/>
                </a:solidFill>
                <a:latin typeface="+mn-lt"/>
              </a:rPr>
              <a:t>ADHERENCIA SEGÚN  TIPO DE AISLAMIENTO UCI CAC Santa Bàrbara AÑO 2024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COHORTIZACIÓN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'CUMPLIMIENTO 2026'!$B$131:$C$131</c:f>
              <c:strCache>
                <c:ptCount val="2"/>
                <c:pt idx="0">
                  <c:v>ENE</c:v>
                </c:pt>
                <c:pt idx="1">
                  <c:v>FEB</c:v>
                </c:pt>
              </c:strCache>
            </c:strRef>
          </c:cat>
          <c:val>
            <c:numRef>
              <c:f>'CUMPLIMIENTO 2026'!$B$132:$C$132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C58-45BC-974B-80D5549EFBCF}"/>
            </c:ext>
          </c:extLst>
        </c:ser>
        <c:ser>
          <c:idx val="1"/>
          <c:order val="1"/>
          <c:invertIfNegative val="1"/>
          <c:cat>
            <c:strRef>
              <c:f>'CUMPLIMIENTO 2026'!$B$131:$C$131</c:f>
              <c:strCache>
                <c:ptCount val="2"/>
                <c:pt idx="0">
                  <c:v>ENE</c:v>
                </c:pt>
                <c:pt idx="1">
                  <c:v>FEB</c:v>
                </c:pt>
              </c:strCache>
            </c:strRef>
          </c:cat>
          <c:val>
            <c:numRef>
              <c:f>'CUMPLIMIENTO 2026'!$B$133:$C$133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58-45BC-974B-80D5549EFBCF}"/>
            </c:ext>
          </c:extLst>
        </c:ser>
        <c:ser>
          <c:idx val="2"/>
          <c:order val="2"/>
          <c:invertIfNegative val="1"/>
          <c:cat>
            <c:strRef>
              <c:f>'CUMPLIMIENTO 2026'!$B$131:$C$131</c:f>
              <c:strCache>
                <c:ptCount val="2"/>
                <c:pt idx="0">
                  <c:v>ENE</c:v>
                </c:pt>
                <c:pt idx="1">
                  <c:v>FEB</c:v>
                </c:pt>
              </c:strCache>
            </c:strRef>
          </c:cat>
          <c:val>
            <c:numRef>
              <c:f>'CUMPLIMIENTO 2026'!$B$134:$C$134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58-45BC-974B-80D5549EFBCF}"/>
            </c:ext>
          </c:extLst>
        </c:ser>
        <c:ser>
          <c:idx val="3"/>
          <c:order val="3"/>
          <c:invertIfNegative val="1"/>
          <c:cat>
            <c:strRef>
              <c:f>'CUMPLIMIENTO 2026'!$B$131:$C$131</c:f>
              <c:strCache>
                <c:ptCount val="2"/>
                <c:pt idx="0">
                  <c:v>ENE</c:v>
                </c:pt>
                <c:pt idx="1">
                  <c:v>FEB</c:v>
                </c:pt>
              </c:strCache>
            </c:strRef>
          </c:cat>
          <c:val>
            <c:numRef>
              <c:f>'CUMPLIMIENTO 2026'!$B$135:$C$135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58-45BC-974B-80D5549EFBCF}"/>
            </c:ext>
          </c:extLst>
        </c:ser>
        <c:ser>
          <c:idx val="4"/>
          <c:order val="4"/>
          <c:invertIfNegative val="1"/>
          <c:cat>
            <c:strRef>
              <c:f>'CUMPLIMIENTO 2026'!$B$131:$C$131</c:f>
              <c:strCache>
                <c:ptCount val="2"/>
                <c:pt idx="0">
                  <c:v>ENE</c:v>
                </c:pt>
                <c:pt idx="1">
                  <c:v>FEB</c:v>
                </c:pt>
              </c:strCache>
            </c:strRef>
          </c:cat>
          <c:val>
            <c:numRef>
              <c:f>'CUMPLIMIENTO 2026'!$B$136:$C$136</c:f>
              <c:numCache>
                <c:formatCode>0%</c:formatCode>
                <c:ptCount val="2"/>
                <c:pt idx="0">
                  <c:v>0.9</c:v>
                </c:pt>
                <c:pt idx="1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58-45BC-974B-80D5549EF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8743241"/>
        <c:axId val="572596792"/>
      </c:barChart>
      <c:catAx>
        <c:axId val="1928743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72596792"/>
        <c:crosses val="autoZero"/>
        <c:auto val="1"/>
        <c:lblAlgn val="ctr"/>
        <c:lblOffset val="100"/>
        <c:noMultiLvlLbl val="1"/>
      </c:catAx>
      <c:valAx>
        <c:axId val="572596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92874324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CO" b="1" i="0">
                <a:solidFill>
                  <a:srgbClr val="757575"/>
                </a:solidFill>
                <a:latin typeface="+mn-lt"/>
              </a:rPr>
              <a:t>ADHERENCIA  DE AISLAMIENTOS SEGÚN  PROFESION  CAC Santa Bárbara AÑO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AUXILIAR</c:v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'CUMPLIMIENTO 2026'!$B$36:$M$36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'CUMPLIMIENTO 2026'!$B$37:$M$37</c:f>
              <c:numCache>
                <c:formatCode>0%</c:formatCode>
                <c:ptCount val="12"/>
                <c:pt idx="0">
                  <c:v>0.86363636363636365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0F-4D91-B330-C0384363509D}"/>
            </c:ext>
          </c:extLst>
        </c:ser>
        <c:ser>
          <c:idx val="1"/>
          <c:order val="1"/>
          <c:tx>
            <c:v>ENFERMERA</c:v>
          </c:tx>
          <c:spPr>
            <a:solidFill>
              <a:srgbClr val="37609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'CUMPLIMIENTO 2026'!$B$36:$M$36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'CUMPLIMIENTO 2026'!$B$36:$M$36</c:f>
              <c:numCache>
                <c:formatCode>mmm\-yy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E0F-4D91-B330-C0384363509D}"/>
            </c:ext>
          </c:extLst>
        </c:ser>
        <c:ser>
          <c:idx val="2"/>
          <c:order val="2"/>
          <c:tx>
            <c:v>MEDICO</c:v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'CUMPLIMIENTO 2026'!$B$36:$M$36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'CUMPLIMIENTO 2026'!$B$38:$M$38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E0F-4D91-B330-C0384363509D}"/>
            </c:ext>
          </c:extLst>
        </c:ser>
        <c:ser>
          <c:idx val="3"/>
          <c:order val="3"/>
          <c:invertIfNegative val="1"/>
          <c:cat>
            <c:strRef>
              <c:f>'CUMPLIMIENTO 2026'!$B$36:$M$36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'CUMPLIMIENTO 2026'!$B$39:$M$39</c:f>
              <c:numCache>
                <c:formatCode>0%</c:formatCode>
                <c:ptCount val="12"/>
                <c:pt idx="0">
                  <c:v>0.8571428571428571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0F-4D91-B330-C03843635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3864741"/>
        <c:axId val="1007401972"/>
      </c:barChart>
      <c:catAx>
        <c:axId val="513864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07401972"/>
        <c:crosses val="autoZero"/>
        <c:auto val="1"/>
        <c:lblAlgn val="ctr"/>
        <c:lblOffset val="100"/>
        <c:noMultiLvlLbl val="1"/>
      </c:catAx>
      <c:valAx>
        <c:axId val="1007401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1386474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r>
              <a:rPr sz="1400" b="1" i="0">
                <a:solidFill>
                  <a:srgbClr val="000000"/>
                </a:solidFill>
                <a:latin typeface="+mn-lt"/>
              </a:rPr>
              <a:t>SUPERVISION DE AISLAMIENTOS POR URGENCIAS CAC Santa Bàrbara AÑO 2024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COHORTIZACIÓN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'CUMPLIMIENTO 2026'!$B$188:$C$188</c:f>
              <c:strCache>
                <c:ptCount val="2"/>
                <c:pt idx="0">
                  <c:v>ENE</c:v>
                </c:pt>
                <c:pt idx="1">
                  <c:v>FEB</c:v>
                </c:pt>
              </c:strCache>
            </c:strRef>
          </c:cat>
          <c:val>
            <c:numRef>
              <c:f>'CUMPLIMIENTO 2026'!$B$189:$C$189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DF4-41FF-AF64-A6271A5F69B7}"/>
            </c:ext>
          </c:extLst>
        </c:ser>
        <c:ser>
          <c:idx val="1"/>
          <c:order val="1"/>
          <c:invertIfNegative val="1"/>
          <c:cat>
            <c:strRef>
              <c:f>'CUMPLIMIENTO 2026'!$B$188:$C$188</c:f>
              <c:strCache>
                <c:ptCount val="2"/>
                <c:pt idx="0">
                  <c:v>ENE</c:v>
                </c:pt>
                <c:pt idx="1">
                  <c:v>FEB</c:v>
                </c:pt>
              </c:strCache>
            </c:strRef>
          </c:cat>
          <c:val>
            <c:numRef>
              <c:f>'CUMPLIMIENTO 2026'!$B$190:$C$190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4-41FF-AF64-A6271A5F69B7}"/>
            </c:ext>
          </c:extLst>
        </c:ser>
        <c:ser>
          <c:idx val="2"/>
          <c:order val="2"/>
          <c:invertIfNegative val="1"/>
          <c:cat>
            <c:strRef>
              <c:f>'CUMPLIMIENTO 2026'!$B$188:$C$188</c:f>
              <c:strCache>
                <c:ptCount val="2"/>
                <c:pt idx="0">
                  <c:v>ENE</c:v>
                </c:pt>
                <c:pt idx="1">
                  <c:v>FEB</c:v>
                </c:pt>
              </c:strCache>
            </c:strRef>
          </c:cat>
          <c:val>
            <c:numRef>
              <c:f>'CUMPLIMIENTO 2026'!$B$191:$C$191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F4-41FF-AF64-A6271A5F69B7}"/>
            </c:ext>
          </c:extLst>
        </c:ser>
        <c:ser>
          <c:idx val="3"/>
          <c:order val="3"/>
          <c:invertIfNegative val="1"/>
          <c:cat>
            <c:strRef>
              <c:f>'CUMPLIMIENTO 2026'!$B$188:$C$188</c:f>
              <c:strCache>
                <c:ptCount val="2"/>
                <c:pt idx="0">
                  <c:v>ENE</c:v>
                </c:pt>
                <c:pt idx="1">
                  <c:v>FEB</c:v>
                </c:pt>
              </c:strCache>
            </c:strRef>
          </c:cat>
          <c:val>
            <c:numRef>
              <c:f>'CUMPLIMIENTO 2026'!$B$192:$C$192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F4-41FF-AF64-A6271A5F69B7}"/>
            </c:ext>
          </c:extLst>
        </c:ser>
        <c:ser>
          <c:idx val="4"/>
          <c:order val="4"/>
          <c:invertIfNegative val="1"/>
          <c:cat>
            <c:strRef>
              <c:f>'CUMPLIMIENTO 2026'!$B$188:$C$188</c:f>
              <c:strCache>
                <c:ptCount val="2"/>
                <c:pt idx="0">
                  <c:v>ENE</c:v>
                </c:pt>
                <c:pt idx="1">
                  <c:v>FEB</c:v>
                </c:pt>
              </c:strCache>
            </c:strRef>
          </c:cat>
          <c:val>
            <c:numRef>
              <c:f>'CUMPLIMIENTO 2026'!$B$193:$C$193</c:f>
              <c:numCache>
                <c:formatCode>0%</c:formatCode>
                <c:ptCount val="2"/>
                <c:pt idx="0">
                  <c:v>0.83</c:v>
                </c:pt>
                <c:pt idx="1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F4-41FF-AF64-A6271A5F6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13316"/>
        <c:axId val="1775443129"/>
      </c:barChart>
      <c:catAx>
        <c:axId val="36913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775443129"/>
        <c:crosses val="autoZero"/>
        <c:auto val="1"/>
        <c:lblAlgn val="ctr"/>
        <c:lblOffset val="100"/>
        <c:noMultiLvlLbl val="1"/>
      </c:catAx>
      <c:valAx>
        <c:axId val="1775443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691331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lang="es-CO" sz="1100" b="1" i="0">
                <a:solidFill>
                  <a:srgbClr val="000000"/>
                </a:solidFill>
                <a:latin typeface="+mn-lt"/>
              </a:rPr>
              <a:t>ADHERENCIA  DE AISLAMIENTO SEGÚN  SERVICIO CAC Santa Bàrbara AÑO 2024
BD COMITÉ DE INFECCION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HOSPITALIZACIÓN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'CUMPLIMIENTO 2026'!$B$17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'CUMPLIMIENTO 2026'!$B$19:$C$19</c:f>
              <c:numCache>
                <c:formatCode>0%</c:formatCode>
                <c:ptCount val="2"/>
                <c:pt idx="0">
                  <c:v>0.83333333333333337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0F-479C-8A7C-EF688C6D11B2}"/>
            </c:ext>
          </c:extLst>
        </c:ser>
        <c:ser>
          <c:idx val="1"/>
          <c:order val="1"/>
          <c:tx>
            <c:v>UCI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'CUMPLIMIENTO 2026'!$B$17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'CUMPLIMIENTO 2026'!$B$20:$C$20</c:f>
              <c:numCache>
                <c:formatCode>0%</c:formatCode>
                <c:ptCount val="2"/>
                <c:pt idx="0">
                  <c:v>0.88888888888888884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80F-479C-8A7C-EF688C6D11B2}"/>
            </c:ext>
          </c:extLst>
        </c:ser>
        <c:ser>
          <c:idx val="2"/>
          <c:order val="2"/>
          <c:tx>
            <c:v>URGENCIAS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'CUMPLIMIENTO 2026'!$B$17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'CUMPLIMIENTO 2026'!$B$21:$C$21</c:f>
              <c:numCache>
                <c:formatCode>0%</c:formatCode>
                <c:ptCount val="2"/>
                <c:pt idx="0">
                  <c:v>0.81818181818181823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80F-479C-8A7C-EF688C6D11B2}"/>
            </c:ext>
          </c:extLst>
        </c:ser>
        <c:ser>
          <c:idx val="3"/>
          <c:order val="3"/>
          <c:tx>
            <c:v>META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trendline>
            <c:name>Linear (META)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'CUMPLIMIENTO 2026'!$B$17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'CUMPLIMIENTO 2026'!$B$22:$C$22</c:f>
              <c:numCache>
                <c:formatCode>0%</c:formatCode>
                <c:ptCount val="2"/>
                <c:pt idx="0">
                  <c:v>0.9</c:v>
                </c:pt>
                <c:pt idx="1">
                  <c:v>0.9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80F-479C-8A7C-EF688C6D1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428451"/>
        <c:axId val="1406479982"/>
      </c:barChart>
      <c:catAx>
        <c:axId val="504428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406479982"/>
        <c:crosses val="autoZero"/>
        <c:auto val="1"/>
        <c:lblAlgn val="ctr"/>
        <c:lblOffset val="100"/>
        <c:noMultiLvlLbl val="1"/>
      </c:catAx>
      <c:valAx>
        <c:axId val="1406479982"/>
        <c:scaling>
          <c:orientation val="minMax"/>
          <c:min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044284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r>
              <a:rPr sz="1400" b="1" i="0">
                <a:solidFill>
                  <a:srgbClr val="000000"/>
                </a:solidFill>
                <a:latin typeface="+mn-lt"/>
              </a:rPr>
              <a:t>ADHERENCIA  PROTOCOLO DE AISLAMIENTO SERVICIO DE UCI CACSB 2024 - 2025
BD COMITÉ DE INFECCION</a:t>
            </a:r>
          </a:p>
        </c:rich>
      </c:tx>
      <c:layout>
        <c:manualLayout>
          <c:xMode val="edge"/>
          <c:yMode val="edge"/>
          <c:x val="0.23236673010996772"/>
          <c:y val="5.0710564990409206E-2"/>
        </c:manualLayout>
      </c:layout>
      <c:overlay val="0"/>
    </c:title>
    <c:autoTitleDeleted val="0"/>
    <c:plotArea>
      <c:layout>
        <c:manualLayout>
          <c:xMode val="edge"/>
          <c:yMode val="edge"/>
          <c:x val="7.333151114761334E-2"/>
          <c:y val="0.30905110819480897"/>
          <c:w val="0.90367998688816153"/>
          <c:h val="0.47764617964421113"/>
        </c:manualLayout>
      </c:layout>
      <c:barChart>
        <c:barDir val="col"/>
        <c:grouping val="clustered"/>
        <c:varyColors val="1"/>
        <c:ser>
          <c:idx val="0"/>
          <c:order val="0"/>
          <c:tx>
            <c:v>2023 2024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'CUMPLIMIENTO 2026'!$B$106:$M$106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'CUMPLIMIENTO 2026'!$B$108:$M$108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0.875</c:v>
                </c:pt>
                <c:pt idx="4">
                  <c:v>0.875</c:v>
                </c:pt>
                <c:pt idx="5">
                  <c:v>0.83333333333333337</c:v>
                </c:pt>
                <c:pt idx="6">
                  <c:v>0.83333333333333337</c:v>
                </c:pt>
                <c:pt idx="7">
                  <c:v>0.8666666666666667</c:v>
                </c:pt>
                <c:pt idx="8">
                  <c:v>0.85</c:v>
                </c:pt>
                <c:pt idx="9">
                  <c:v>0.83333333333333337</c:v>
                </c:pt>
                <c:pt idx="10">
                  <c:v>0.88888888888888884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D64-44F1-A168-19938656AFED}"/>
            </c:ext>
          </c:extLst>
        </c:ser>
        <c:ser>
          <c:idx val="1"/>
          <c:order val="1"/>
          <c:tx>
            <c:v>2025</c:v>
          </c:tx>
          <c:spPr>
            <a:solidFill>
              <a:srgbClr val="0070C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'CUMPLIMIENTO 2026'!$B$106:$M$106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'CUMPLIMIENTO 2026'!$A$109:$M$109</c:f>
              <c:numCache>
                <c:formatCode>0%</c:formatCode>
                <c:ptCount val="13"/>
                <c:pt idx="0" formatCode="0">
                  <c:v>2025</c:v>
                </c:pt>
                <c:pt idx="1">
                  <c:v>0.88888888888888884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D64-44F1-A168-19938656AFED}"/>
            </c:ext>
          </c:extLst>
        </c:ser>
        <c:ser>
          <c:idx val="2"/>
          <c:order val="2"/>
          <c:tx>
            <c:v>META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trendline>
            <c:name>Linear (META)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'CUMPLIMIENTO 2026'!$B$106:$M$106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'CUMPLIMIENTO 2026'!$A$110:$M$110</c:f>
              <c:numCache>
                <c:formatCode>0%</c:formatCode>
                <c:ptCount val="13"/>
                <c:pt idx="0" formatCode="General">
                  <c:v>0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D64-44F1-A168-19938656A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222686"/>
        <c:axId val="1615274653"/>
      </c:barChart>
      <c:catAx>
        <c:axId val="44222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15274653"/>
        <c:crosses val="autoZero"/>
        <c:auto val="1"/>
        <c:lblAlgn val="ctr"/>
        <c:lblOffset val="100"/>
        <c:noMultiLvlLbl val="1"/>
      </c:catAx>
      <c:valAx>
        <c:axId val="1615274653"/>
        <c:scaling>
          <c:orientation val="minMax"/>
          <c:max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4422268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200" b="1" i="0">
              <a:solidFill>
                <a:srgbClr val="000000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300" b="1" i="0">
                <a:solidFill>
                  <a:srgbClr val="000000"/>
                </a:solidFill>
                <a:latin typeface="+mn-lt"/>
              </a:defRPr>
            </a:pPr>
            <a:r>
              <a:rPr sz="1300" b="1" i="0">
                <a:solidFill>
                  <a:srgbClr val="000000"/>
                </a:solidFill>
                <a:latin typeface="+mn-lt"/>
              </a:rPr>
              <a:t>ADHERENCIA  PROTOCOLO DE AISLAMIENTO SERVICIO DE URGENCIAS CACSB 2024 - 2025
BD COMITÉ DE INFECCION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9.7469816272965873E-2"/>
          <c:y val="0.22219230919456853"/>
          <c:w val="0.87197462817147853"/>
          <c:h val="0.57495419767885969"/>
        </c:manualLayout>
      </c:layout>
      <c:barChart>
        <c:barDir val="col"/>
        <c:grouping val="clustered"/>
        <c:varyColors val="1"/>
        <c:ser>
          <c:idx val="0"/>
          <c:order val="0"/>
          <c:tx>
            <c:v>2023 2024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'CUMPLIMIENTO 2026'!$B$161:$M$161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'CUMPLIMIENTO 2026'!$B$163:$M$163</c:f>
              <c:numCache>
                <c:formatCode>0%</c:formatCode>
                <c:ptCount val="12"/>
                <c:pt idx="0">
                  <c:v>0.8</c:v>
                </c:pt>
                <c:pt idx="1">
                  <c:v>0.81666666666666698</c:v>
                </c:pt>
                <c:pt idx="2">
                  <c:v>0.8</c:v>
                </c:pt>
                <c:pt idx="3">
                  <c:v>0.82</c:v>
                </c:pt>
                <c:pt idx="4">
                  <c:v>0.83333333333333337</c:v>
                </c:pt>
                <c:pt idx="5">
                  <c:v>0.8</c:v>
                </c:pt>
                <c:pt idx="6">
                  <c:v>0.8125</c:v>
                </c:pt>
                <c:pt idx="7">
                  <c:v>0.77777777777777779</c:v>
                </c:pt>
                <c:pt idx="8">
                  <c:v>0.82</c:v>
                </c:pt>
                <c:pt idx="9">
                  <c:v>0.8</c:v>
                </c:pt>
                <c:pt idx="10">
                  <c:v>0.8</c:v>
                </c:pt>
                <c:pt idx="11">
                  <c:v>0.83333333333333337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126-46EA-B91E-3EDFF4F733CA}"/>
            </c:ext>
          </c:extLst>
        </c:ser>
        <c:ser>
          <c:idx val="1"/>
          <c:order val="1"/>
          <c:tx>
            <c:v>2025</c:v>
          </c:tx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9126-46EA-B91E-3EDFF4F733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'CUMPLIMIENTO 2026'!$B$161:$M$161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'CUMPLIMIENTO 2026'!$A$164:$M$164</c:f>
              <c:numCache>
                <c:formatCode>0%</c:formatCode>
                <c:ptCount val="13"/>
                <c:pt idx="0" formatCode="0">
                  <c:v>2025</c:v>
                </c:pt>
                <c:pt idx="1">
                  <c:v>0.81818181818181823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126-46EA-B91E-3EDFF4F733CA}"/>
            </c:ext>
          </c:extLst>
        </c:ser>
        <c:ser>
          <c:idx val="2"/>
          <c:order val="2"/>
          <c:tx>
            <c:v>META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trendline>
            <c:name>Linear (META)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'CUMPLIMIENTO 2026'!$B$161:$M$161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'CUMPLIMIENTO 2026'!$A$165:$M$165</c:f>
              <c:numCache>
                <c:formatCode>0%</c:formatCode>
                <c:ptCount val="13"/>
                <c:pt idx="0" formatCode="General">
                  <c:v>0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9126-46EA-B91E-3EDFF4F73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2577194"/>
        <c:axId val="1386929069"/>
      </c:barChart>
      <c:catAx>
        <c:axId val="1482577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86929069"/>
        <c:crosses val="autoZero"/>
        <c:auto val="1"/>
        <c:lblAlgn val="ctr"/>
        <c:lblOffset val="100"/>
        <c:noMultiLvlLbl val="1"/>
      </c:catAx>
      <c:valAx>
        <c:axId val="138692906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48257719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100" b="1" i="0">
              <a:solidFill>
                <a:srgbClr val="000000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000000"/>
                </a:solidFill>
                <a:latin typeface="+mn-lt"/>
              </a:defRPr>
            </a:pPr>
            <a:r>
              <a:rPr sz="1600" b="1" i="0">
                <a:solidFill>
                  <a:srgbClr val="000000"/>
                </a:solidFill>
                <a:latin typeface="+mn-lt"/>
              </a:rPr>
              <a:t>ADHERENCIA  AISLAMIENTO  POR TIPO DE PROFESIÓN  HOSPITALIZACIÓN CCA 2024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9.7469816272965873E-2"/>
          <c:y val="0.29249999999999998"/>
          <c:w val="0.87197462817147853"/>
          <c:h val="0.49419728783902023"/>
        </c:manualLayout>
      </c:layout>
      <c:barChart>
        <c:barDir val="col"/>
        <c:grouping val="clustered"/>
        <c:varyColors val="1"/>
        <c:ser>
          <c:idx val="0"/>
          <c:order val="0"/>
          <c:tx>
            <c:v>AUXILIAR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'CUMPLIMIENTO 2026'!$B$93:$E$93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'CUMPLIMIENTO 2026'!$B$94:$E$94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59-4D32-B6ED-396E339F7515}"/>
            </c:ext>
          </c:extLst>
        </c:ser>
        <c:ser>
          <c:idx val="1"/>
          <c:order val="1"/>
          <c:invertIfNegative val="1"/>
          <c:cat>
            <c:strRef>
              <c:f>'CUMPLIMIENTO 2026'!$B$93:$E$93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'CUMPLIMIENTO 2026'!$B$95:$E$95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59-4D32-B6ED-396E339F7515}"/>
            </c:ext>
          </c:extLst>
        </c:ser>
        <c:ser>
          <c:idx val="2"/>
          <c:order val="2"/>
          <c:invertIfNegative val="1"/>
          <c:cat>
            <c:strRef>
              <c:f>'CUMPLIMIENTO 2026'!$B$93:$E$93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'CUMPLIMIENTO 2026'!$B$96:$E$96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59-4D32-B6ED-396E339F7515}"/>
            </c:ext>
          </c:extLst>
        </c:ser>
        <c:ser>
          <c:idx val="3"/>
          <c:order val="3"/>
          <c:invertIfNegative val="1"/>
          <c:cat>
            <c:strRef>
              <c:f>'CUMPLIMIENTO 2026'!$B$93:$E$93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'CUMPLIMIENTO 2026'!$B$97:$E$97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59-4D32-B6ED-396E339F7515}"/>
            </c:ext>
          </c:extLst>
        </c:ser>
        <c:ser>
          <c:idx val="4"/>
          <c:order val="4"/>
          <c:invertIfNegative val="1"/>
          <c:cat>
            <c:strRef>
              <c:f>'CUMPLIMIENTO 2026'!$B$93:$E$93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'CUMPLIMIENTO 2026'!$B$98:$E$98</c:f>
              <c:numCache>
                <c:formatCode>0%</c:formatCode>
                <c:ptCount val="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59-4D32-B6ED-396E339F7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3222642"/>
        <c:axId val="1413490419"/>
      </c:barChart>
      <c:catAx>
        <c:axId val="923222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413490419"/>
        <c:crosses val="autoZero"/>
        <c:auto val="1"/>
        <c:lblAlgn val="ctr"/>
        <c:lblOffset val="100"/>
        <c:noMultiLvlLbl val="1"/>
      </c:catAx>
      <c:valAx>
        <c:axId val="141349041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92322264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228005249343832"/>
          <c:y val="0.89409667541557303"/>
        </c:manualLayout>
      </c:layout>
      <c:overlay val="0"/>
      <c:txPr>
        <a:bodyPr/>
        <a:lstStyle/>
        <a:p>
          <a:pPr lvl="0">
            <a:defRPr sz="1400" b="1" i="0">
              <a:solidFill>
                <a:srgbClr val="000000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r>
              <a:rPr sz="1400" b="1" i="0">
                <a:solidFill>
                  <a:srgbClr val="000000"/>
                </a:solidFill>
                <a:latin typeface="+mn-lt"/>
              </a:rPr>
              <a:t>ADHERENCIA  PROTOCOLO DE AISLAMIENTO SERVICIO DE HOSPITALIZACION CACSB 2025 - 2026
BD COMITÉ DE INFECCION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2025</c:v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'CUMPLIMIENTO 2026'!$B$53</c:f>
              <c:numCache>
                <c:formatCode>0%</c:formatCode>
                <c:ptCount val="1"/>
                <c:pt idx="0">
                  <c:v>0.83333333333333337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238-46BF-A655-220BFB18F5AF}"/>
            </c:ext>
          </c:extLst>
        </c:ser>
        <c:ser>
          <c:idx val="1"/>
          <c:order val="1"/>
          <c:tx>
            <c:v>2026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'CUMPLIMIENTO 2026'!$B$54</c:f>
              <c:numCache>
                <c:formatCode>0%</c:formatCode>
                <c:ptCount val="1"/>
                <c:pt idx="0">
                  <c:v>0.84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238-46BF-A655-220BFB18F5AF}"/>
            </c:ext>
          </c:extLst>
        </c:ser>
        <c:ser>
          <c:idx val="2"/>
          <c:order val="2"/>
          <c:tx>
            <c:v>META</c:v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trendline>
            <c:name>Linear (META)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'CUMPLIMIENTO 2026'!$B$55</c:f>
              <c:numCache>
                <c:formatCode>0%</c:formatCode>
                <c:ptCount val="1"/>
                <c:pt idx="0">
                  <c:v>0.83333333333333337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238-46BF-A655-220BFB18F5AF}"/>
            </c:ext>
          </c:extLst>
        </c:ser>
        <c:ser>
          <c:idx val="3"/>
          <c:order val="3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'CUMPLIMIENTO 2026'!$B$56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A238-46BF-A655-220BFB18F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9685444"/>
        <c:axId val="1993641340"/>
      </c:barChart>
      <c:catAx>
        <c:axId val="1559685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993641340"/>
        <c:crosses val="autoZero"/>
        <c:auto val="1"/>
        <c:lblAlgn val="ctr"/>
        <c:lblOffset val="100"/>
        <c:noMultiLvlLbl val="1"/>
      </c:catAx>
      <c:valAx>
        <c:axId val="1993641340"/>
        <c:scaling>
          <c:orientation val="minMax"/>
          <c:max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559685444"/>
        <c:crosses val="autoZero"/>
        <c:crossBetween val="between"/>
        <c:majorUnit val="0.1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Arial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r>
              <a:rPr sz="1400" b="1" i="0">
                <a:solidFill>
                  <a:srgbClr val="000000"/>
                </a:solidFill>
                <a:latin typeface="+mn-lt"/>
              </a:rPr>
              <a:t>ADHERENCIA AISLAMIENTO  POR TIPO DE PROFESIÓN  UCI CCA 2024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AUXILIAR</c:v>
          </c:tx>
          <c:spPr>
            <a:solidFill>
              <a:srgbClr val="0070C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'CUMPLIMIENTO 2026'!$B$145:$E$145</c:f>
              <c:strCache>
                <c:ptCount val="4"/>
                <c:pt idx="0">
                  <c:v>#REF!</c:v>
                </c:pt>
                <c:pt idx="1">
                  <c:v>#REF!</c:v>
                </c:pt>
                <c:pt idx="2">
                  <c:v>#¡REF!</c:v>
                </c:pt>
                <c:pt idx="3">
                  <c:v>#REF!</c:v>
                </c:pt>
              </c:strCache>
            </c:strRef>
          </c:cat>
          <c:val>
            <c:numRef>
              <c:f>'CUMPLIMIENTO 2026'!$B$146:$E$146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95E-452F-999D-EC0B9B9AF73C}"/>
            </c:ext>
          </c:extLst>
        </c:ser>
        <c:ser>
          <c:idx val="1"/>
          <c:order val="1"/>
          <c:invertIfNegative val="1"/>
          <c:cat>
            <c:strRef>
              <c:f>'CUMPLIMIENTO 2026'!$B$145:$E$145</c:f>
              <c:strCache>
                <c:ptCount val="4"/>
                <c:pt idx="0">
                  <c:v>#REF!</c:v>
                </c:pt>
                <c:pt idx="1">
                  <c:v>#REF!</c:v>
                </c:pt>
                <c:pt idx="2">
                  <c:v>#¡REF!</c:v>
                </c:pt>
                <c:pt idx="3">
                  <c:v>#REF!</c:v>
                </c:pt>
              </c:strCache>
            </c:strRef>
          </c:cat>
          <c:val>
            <c:numRef>
              <c:f>'CUMPLIMIENTO 2026'!$B$148:$E$148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E-452F-999D-EC0B9B9AF73C}"/>
            </c:ext>
          </c:extLst>
        </c:ser>
        <c:ser>
          <c:idx val="2"/>
          <c:order val="2"/>
          <c:invertIfNegative val="1"/>
          <c:cat>
            <c:strRef>
              <c:f>'CUMPLIMIENTO 2026'!$B$145:$E$145</c:f>
              <c:strCache>
                <c:ptCount val="4"/>
                <c:pt idx="0">
                  <c:v>#REF!</c:v>
                </c:pt>
                <c:pt idx="1">
                  <c:v>#REF!</c:v>
                </c:pt>
                <c:pt idx="2">
                  <c:v>#¡REF!</c:v>
                </c:pt>
                <c:pt idx="3">
                  <c:v>#REF!</c:v>
                </c:pt>
              </c:strCache>
            </c:strRef>
          </c:cat>
          <c:val>
            <c:numRef>
              <c:f>'CUMPLIMIENTO 2026'!$B$149:$E$149</c:f>
              <c:numCache>
                <c:formatCode>0%</c:formatCode>
                <c:ptCount val="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5E-452F-999D-EC0B9B9AF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5321141"/>
        <c:axId val="1794651283"/>
      </c:barChart>
      <c:catAx>
        <c:axId val="305321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794651283"/>
        <c:crosses val="autoZero"/>
        <c:auto val="1"/>
        <c:lblAlgn val="ctr"/>
        <c:lblOffset val="100"/>
        <c:noMultiLvlLbl val="1"/>
      </c:catAx>
      <c:valAx>
        <c:axId val="1794651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0532114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r>
              <a:rPr sz="1400" b="1" i="0">
                <a:solidFill>
                  <a:srgbClr val="000000"/>
                </a:solidFill>
                <a:latin typeface="+mn-lt"/>
              </a:rPr>
              <a:t>ADHERENCIA PROTOCOLO DE  AISLAMIENTO  POR TIPO DE PROFESIÓN  URGENCIAS CCA 2025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AUXILIAR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'CUMPLIMIENTO 2026'!$B$212:$D$212</c:f>
              <c:strCache>
                <c:ptCount val="3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</c:strCache>
            </c:strRef>
          </c:cat>
          <c:val>
            <c:numRef>
              <c:f>'CUMPLIMIENTO 2026'!$B$213:$D$213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773-46B1-B155-E11F947C7024}"/>
            </c:ext>
          </c:extLst>
        </c:ser>
        <c:ser>
          <c:idx val="1"/>
          <c:order val="1"/>
          <c:invertIfNegative val="1"/>
          <c:cat>
            <c:strRef>
              <c:f>'CUMPLIMIENTO 2026'!$B$212:$D$212</c:f>
              <c:strCache>
                <c:ptCount val="3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</c:strCache>
            </c:strRef>
          </c:cat>
          <c:val>
            <c:numRef>
              <c:f>'CUMPLIMIENTO 2026'!$B$214:$D$214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73-46B1-B155-E11F947C7024}"/>
            </c:ext>
          </c:extLst>
        </c:ser>
        <c:ser>
          <c:idx val="2"/>
          <c:order val="2"/>
          <c:invertIfNegative val="1"/>
          <c:cat>
            <c:strRef>
              <c:f>'CUMPLIMIENTO 2026'!$B$212:$D$212</c:f>
              <c:strCache>
                <c:ptCount val="3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</c:strCache>
            </c:strRef>
          </c:cat>
          <c:val>
            <c:numRef>
              <c:f>'CUMPLIMIENTO 2026'!$B$215:$D$215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73-46B1-B155-E11F947C7024}"/>
            </c:ext>
          </c:extLst>
        </c:ser>
        <c:ser>
          <c:idx val="3"/>
          <c:order val="3"/>
          <c:invertIfNegative val="1"/>
          <c:cat>
            <c:strRef>
              <c:f>'CUMPLIMIENTO 2026'!$B$212:$D$212</c:f>
              <c:strCache>
                <c:ptCount val="3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</c:strCache>
            </c:strRef>
          </c:cat>
          <c:val>
            <c:numRef>
              <c:f>'CUMPLIMIENTO 2026'!$B$216:$D$216</c:f>
              <c:numCache>
                <c:formatCode>0%</c:formatCode>
                <c:ptCount val="3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73-46B1-B155-E11F947C7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4986472"/>
        <c:axId val="597150567"/>
      </c:barChart>
      <c:catAx>
        <c:axId val="1364986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97150567"/>
        <c:crosses val="autoZero"/>
        <c:auto val="1"/>
        <c:lblAlgn val="ctr"/>
        <c:lblOffset val="100"/>
        <c:noMultiLvlLbl val="1"/>
      </c:catAx>
      <c:valAx>
        <c:axId val="597150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649864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2732789135303045E-2"/>
          <c:y val="0.82291557305336838"/>
        </c:manualLayout>
      </c:layout>
      <c:overlay val="0"/>
      <c:txPr>
        <a:bodyPr/>
        <a:lstStyle/>
        <a:p>
          <a:pPr lvl="0">
            <a:defRPr sz="1200" b="1" i="0">
              <a:solidFill>
                <a:srgbClr val="000000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r>
              <a:rPr sz="1400" b="1" i="0">
                <a:solidFill>
                  <a:srgbClr val="000000"/>
                </a:solidFill>
                <a:latin typeface="+mn-lt"/>
              </a:rPr>
              <a:t>ADHERENCIA  PROTOCOLO DE AISLAMIENTO SERVICIO DE HOSPITALIZACION CACSB 2025 - 2026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2025</c:v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A89-415D-BA62-5BD31187D3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'CUMPLIMIENTO 2026'!$B$53:$C$53</c:f>
              <c:numCache>
                <c:formatCode>0%</c:formatCode>
                <c:ptCount val="2"/>
                <c:pt idx="0">
                  <c:v>0.83333333333333337</c:v>
                </c:pt>
                <c:pt idx="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A89-415D-BA62-5BD31187D317}"/>
            </c:ext>
          </c:extLst>
        </c:ser>
        <c:ser>
          <c:idx val="1"/>
          <c:order val="1"/>
          <c:tx>
            <c:v>2026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'CUMPLIMIENTO 2026'!$B$54:$C$54</c:f>
              <c:numCache>
                <c:formatCode>0%</c:formatCode>
                <c:ptCount val="2"/>
                <c:pt idx="0">
                  <c:v>0.84</c:v>
                </c:pt>
                <c:pt idx="1">
                  <c:v>0.83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A89-415D-BA62-5BD31187D317}"/>
            </c:ext>
          </c:extLst>
        </c:ser>
        <c:ser>
          <c:idx val="2"/>
          <c:order val="2"/>
          <c:tx>
            <c:v>META</c:v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trendline>
            <c:name>Linear (META)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'CUMPLIMIENTO 2026'!$B$55:$C$55</c:f>
              <c:numCache>
                <c:formatCode>0%</c:formatCode>
                <c:ptCount val="2"/>
                <c:pt idx="0">
                  <c:v>0.83333333333333337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AA89-415D-BA62-5BD31187D317}"/>
            </c:ext>
          </c:extLst>
        </c:ser>
        <c:ser>
          <c:idx val="3"/>
          <c:order val="3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'CUMPLIMIENTO 2026'!$B$56:$C$56</c:f>
              <c:numCache>
                <c:formatCode>0%</c:formatCode>
                <c:ptCount val="2"/>
                <c:pt idx="0">
                  <c:v>0.9</c:v>
                </c:pt>
                <c:pt idx="1">
                  <c:v>0.9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AA89-415D-BA62-5BD31187D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6421295"/>
        <c:axId val="2009616992"/>
      </c:barChart>
      <c:catAx>
        <c:axId val="1846421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09616992"/>
        <c:crosses val="autoZero"/>
        <c:auto val="1"/>
        <c:lblAlgn val="ctr"/>
        <c:lblOffset val="100"/>
        <c:noMultiLvlLbl val="1"/>
      </c:catAx>
      <c:valAx>
        <c:axId val="2009616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84642129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r>
              <a:rPr sz="1400" b="1" i="0">
                <a:solidFill>
                  <a:srgbClr val="000000"/>
                </a:solidFill>
                <a:latin typeface="+mn-lt"/>
              </a:rPr>
              <a:t>ADHERENCIA  PROTOCOLO DE AISLAMIENTO SERVICIO DE UCI CACSB 2024 - 2025
BD COMITÉ DE INFECCION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2024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'CUMPLIMIENTO 2026'!$B$108:$C$108</c:f>
              <c:numCache>
                <c:formatCode>0%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20-4E0A-9D0C-8E43B417FED8}"/>
            </c:ext>
          </c:extLst>
        </c:ser>
        <c:ser>
          <c:idx val="1"/>
          <c:order val="1"/>
          <c:tx>
            <c:v>2025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'CUMPLIMIENTO 2026'!$B$109:$C$109</c:f>
              <c:numCache>
                <c:formatCode>0%</c:formatCode>
                <c:ptCount val="2"/>
                <c:pt idx="0">
                  <c:v>0.88888888888888884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A20-4E0A-9D0C-8E43B417FED8}"/>
            </c:ext>
          </c:extLst>
        </c:ser>
        <c:ser>
          <c:idx val="2"/>
          <c:order val="2"/>
          <c:tx>
            <c:v>META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trendline>
            <c:name>Linear (META)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'CUMPLIMIENTO 2026'!$B$110:$C$110</c:f>
              <c:numCache>
                <c:formatCode>0%</c:formatCode>
                <c:ptCount val="2"/>
                <c:pt idx="0">
                  <c:v>0.9</c:v>
                </c:pt>
                <c:pt idx="1">
                  <c:v>0.9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A20-4E0A-9D0C-8E43B417F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9600651"/>
        <c:axId val="152557853"/>
      </c:barChart>
      <c:catAx>
        <c:axId val="489600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52557853"/>
        <c:crosses val="autoZero"/>
        <c:auto val="1"/>
        <c:lblAlgn val="ctr"/>
        <c:lblOffset val="100"/>
        <c:noMultiLvlLbl val="1"/>
      </c:catAx>
      <c:valAx>
        <c:axId val="152557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4896006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r>
              <a:rPr sz="1400" b="1" i="0">
                <a:solidFill>
                  <a:srgbClr val="000000"/>
                </a:solidFill>
                <a:latin typeface="+mn-lt"/>
              </a:rPr>
              <a:t>ADHERENCIA  PROTOCOLO DE AISLAMIENTO SERVICIO DE URGENCIAS CACSB 2024 - 2025
BD COMITÉ DE INFECCION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2024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'CUMPLIMIENTO 2026'!$B$163:$C$163</c:f>
              <c:numCache>
                <c:formatCode>0%</c:formatCode>
                <c:ptCount val="2"/>
                <c:pt idx="0">
                  <c:v>0.8</c:v>
                </c:pt>
                <c:pt idx="1">
                  <c:v>0.81666666666666698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764-4F6C-A780-95E044066314}"/>
            </c:ext>
          </c:extLst>
        </c:ser>
        <c:ser>
          <c:idx val="1"/>
          <c:order val="1"/>
          <c:tx>
            <c:v>2025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'CUMPLIMIENTO 2026'!$B$164:$C$164</c:f>
              <c:numCache>
                <c:formatCode>0%</c:formatCode>
                <c:ptCount val="2"/>
                <c:pt idx="0">
                  <c:v>0.81818181818181823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764-4F6C-A780-95E044066314}"/>
            </c:ext>
          </c:extLst>
        </c:ser>
        <c:ser>
          <c:idx val="2"/>
          <c:order val="2"/>
          <c:tx>
            <c:v>META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trendline>
            <c:name>Linear (META)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'CUMPLIMIENTO 2026'!$B$165:$C$165</c:f>
              <c:numCache>
                <c:formatCode>0%</c:formatCode>
                <c:ptCount val="2"/>
                <c:pt idx="0">
                  <c:v>0.9</c:v>
                </c:pt>
                <c:pt idx="1">
                  <c:v>0.9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764-4F6C-A780-95E044066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9966794"/>
        <c:axId val="1526838077"/>
      </c:barChart>
      <c:catAx>
        <c:axId val="1279966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526838077"/>
        <c:crosses val="autoZero"/>
        <c:auto val="1"/>
        <c:lblAlgn val="ctr"/>
        <c:lblOffset val="100"/>
        <c:noMultiLvlLbl val="1"/>
      </c:catAx>
      <c:valAx>
        <c:axId val="1526838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27996679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image" Target="../media/image4.png"/><Relationship Id="rId3" Type="http://schemas.openxmlformats.org/officeDocument/2006/relationships/chart" Target="../charts/chart4.xml"/><Relationship Id="rId21" Type="http://schemas.openxmlformats.org/officeDocument/2006/relationships/image" Target="../media/image7.png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image" Target="../media/image3.png"/><Relationship Id="rId2" Type="http://schemas.openxmlformats.org/officeDocument/2006/relationships/chart" Target="../charts/chart3.xml"/><Relationship Id="rId16" Type="http://schemas.openxmlformats.org/officeDocument/2006/relationships/image" Target="../media/image2.png"/><Relationship Id="rId20" Type="http://schemas.openxmlformats.org/officeDocument/2006/relationships/image" Target="../media/image6.png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image" Target="../media/image1.png"/><Relationship Id="rId10" Type="http://schemas.openxmlformats.org/officeDocument/2006/relationships/chart" Target="../charts/chart11.xml"/><Relationship Id="rId19" Type="http://schemas.openxmlformats.org/officeDocument/2006/relationships/image" Target="../media/image5.png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657225</xdr:colOff>
      <xdr:row>3</xdr:row>
      <xdr:rowOff>9525</xdr:rowOff>
    </xdr:from>
    <xdr:ext cx="9982200" cy="2990850"/>
    <xdr:graphicFrame macro="">
      <xdr:nvGraphicFramePr>
        <xdr:cNvPr id="48233641" name="Chart 1" title="Gráfico">
          <a:extLst>
            <a:ext uri="{FF2B5EF4-FFF2-40B4-BE49-F238E27FC236}">
              <a16:creationId xmlns:a16="http://schemas.microsoft.com/office/drawing/2014/main" id="{00000000-0008-0000-0000-0000A9FCD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590550</xdr:colOff>
      <xdr:row>73</xdr:row>
      <xdr:rowOff>66675</xdr:rowOff>
    </xdr:from>
    <xdr:ext cx="6343650" cy="2676525"/>
    <xdr:graphicFrame macro="">
      <xdr:nvGraphicFramePr>
        <xdr:cNvPr id="1906533479" name="Chart 2" descr="Chart 2" title="Gráfico">
          <a:extLst>
            <a:ext uri="{FF2B5EF4-FFF2-40B4-BE49-F238E27FC236}">
              <a16:creationId xmlns:a16="http://schemas.microsoft.com/office/drawing/2014/main" id="{00000000-0008-0000-0100-00006764A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504825</xdr:colOff>
      <xdr:row>128</xdr:row>
      <xdr:rowOff>19050</xdr:rowOff>
    </xdr:from>
    <xdr:ext cx="4638675" cy="2705100"/>
    <xdr:graphicFrame macro="">
      <xdr:nvGraphicFramePr>
        <xdr:cNvPr id="1952402727" name="Chart 3" descr="Chart 4">
          <a:extLst>
            <a:ext uri="{FF2B5EF4-FFF2-40B4-BE49-F238E27FC236}">
              <a16:creationId xmlns:a16="http://schemas.microsoft.com/office/drawing/2014/main" id="{00000000-0008-0000-0100-0000274D5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31</xdr:row>
      <xdr:rowOff>104775</xdr:rowOff>
    </xdr:from>
    <xdr:ext cx="7505700" cy="3514725"/>
    <xdr:graphicFrame macro="">
      <xdr:nvGraphicFramePr>
        <xdr:cNvPr id="27198715" name="Chart 4" descr="Chart 5" title="Gráfico">
          <a:extLst>
            <a:ext uri="{FF2B5EF4-FFF2-40B4-BE49-F238E27FC236}">
              <a16:creationId xmlns:a16="http://schemas.microsoft.com/office/drawing/2014/main" id="{00000000-0008-0000-0100-0000FB049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13</xdr:col>
      <xdr:colOff>762000</xdr:colOff>
      <xdr:row>187</xdr:row>
      <xdr:rowOff>114300</xdr:rowOff>
    </xdr:from>
    <xdr:ext cx="4019550" cy="2952750"/>
    <xdr:graphicFrame macro="">
      <xdr:nvGraphicFramePr>
        <xdr:cNvPr id="1963876505" name="Chart 5" descr="Chart 7">
          <a:extLst>
            <a:ext uri="{FF2B5EF4-FFF2-40B4-BE49-F238E27FC236}">
              <a16:creationId xmlns:a16="http://schemas.microsoft.com/office/drawing/2014/main" id="{00000000-0008-0000-0100-000099600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18</xdr:col>
      <xdr:colOff>9525</xdr:colOff>
      <xdr:row>13</xdr:row>
      <xdr:rowOff>142875</xdr:rowOff>
    </xdr:from>
    <xdr:ext cx="16011525" cy="2771775"/>
    <xdr:graphicFrame macro="">
      <xdr:nvGraphicFramePr>
        <xdr:cNvPr id="604922205" name="Chart 6" title="Gráfico">
          <a:extLst>
            <a:ext uri="{FF2B5EF4-FFF2-40B4-BE49-F238E27FC236}">
              <a16:creationId xmlns:a16="http://schemas.microsoft.com/office/drawing/2014/main" id="{00000000-0008-0000-0100-00005D610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0</xdr:col>
      <xdr:colOff>2143125</xdr:colOff>
      <xdr:row>110</xdr:row>
      <xdr:rowOff>95250</xdr:rowOff>
    </xdr:from>
    <xdr:ext cx="8963025" cy="3438525"/>
    <xdr:graphicFrame macro="">
      <xdr:nvGraphicFramePr>
        <xdr:cNvPr id="2077725850" name="Chart 7">
          <a:extLst>
            <a:ext uri="{FF2B5EF4-FFF2-40B4-BE49-F238E27FC236}">
              <a16:creationId xmlns:a16="http://schemas.microsoft.com/office/drawing/2014/main" id="{00000000-0008-0000-0100-00009A94D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200025</xdr:colOff>
      <xdr:row>165</xdr:row>
      <xdr:rowOff>28575</xdr:rowOff>
    </xdr:from>
    <xdr:ext cx="7934325" cy="4000500"/>
    <xdr:graphicFrame macro="">
      <xdr:nvGraphicFramePr>
        <xdr:cNvPr id="1557367418" name="Chart 8">
          <a:extLst>
            <a:ext uri="{FF2B5EF4-FFF2-40B4-BE49-F238E27FC236}">
              <a16:creationId xmlns:a16="http://schemas.microsoft.com/office/drawing/2014/main" id="{00000000-0008-0000-0100-00007A8AD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14</xdr:col>
      <xdr:colOff>9525</xdr:colOff>
      <xdr:row>91</xdr:row>
      <xdr:rowOff>28575</xdr:rowOff>
    </xdr:from>
    <xdr:ext cx="10382250" cy="2743200"/>
    <xdr:graphicFrame macro="">
      <xdr:nvGraphicFramePr>
        <xdr:cNvPr id="798622577" name="Chart 9">
          <a:extLst>
            <a:ext uri="{FF2B5EF4-FFF2-40B4-BE49-F238E27FC236}">
              <a16:creationId xmlns:a16="http://schemas.microsoft.com/office/drawing/2014/main" id="{00000000-0008-0000-0100-000071039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</xdr:col>
      <xdr:colOff>76200</xdr:colOff>
      <xdr:row>56</xdr:row>
      <xdr:rowOff>95250</xdr:rowOff>
    </xdr:from>
    <xdr:ext cx="6086475" cy="3114675"/>
    <xdr:graphicFrame macro="">
      <xdr:nvGraphicFramePr>
        <xdr:cNvPr id="1173605383" name="Chart 10" title="Gráfico">
          <a:extLst>
            <a:ext uri="{FF2B5EF4-FFF2-40B4-BE49-F238E27FC236}">
              <a16:creationId xmlns:a16="http://schemas.microsoft.com/office/drawing/2014/main" id="{00000000-0008-0000-0100-000007CCF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13</xdr:col>
      <xdr:colOff>885825</xdr:colOff>
      <xdr:row>143</xdr:row>
      <xdr:rowOff>9525</xdr:rowOff>
    </xdr:from>
    <xdr:ext cx="7524750" cy="2686050"/>
    <xdr:graphicFrame macro="">
      <xdr:nvGraphicFramePr>
        <xdr:cNvPr id="1562612184" name="Chart 11">
          <a:extLst>
            <a:ext uri="{FF2B5EF4-FFF2-40B4-BE49-F238E27FC236}">
              <a16:creationId xmlns:a16="http://schemas.microsoft.com/office/drawing/2014/main" id="{00000000-0008-0000-0100-0000D8912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3</xdr:col>
      <xdr:colOff>38100</xdr:colOff>
      <xdr:row>218</xdr:row>
      <xdr:rowOff>123825</xdr:rowOff>
    </xdr:from>
    <xdr:ext cx="8677275" cy="2657475"/>
    <xdr:graphicFrame macro="">
      <xdr:nvGraphicFramePr>
        <xdr:cNvPr id="1062757547" name="Chart 12">
          <a:extLst>
            <a:ext uri="{FF2B5EF4-FFF2-40B4-BE49-F238E27FC236}">
              <a16:creationId xmlns:a16="http://schemas.microsoft.com/office/drawing/2014/main" id="{00000000-0008-0000-0100-0000AB645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10</xdr:col>
      <xdr:colOff>47625</xdr:colOff>
      <xdr:row>56</xdr:row>
      <xdr:rowOff>57150</xdr:rowOff>
    </xdr:from>
    <xdr:ext cx="4562475" cy="2876550"/>
    <xdr:graphicFrame macro="">
      <xdr:nvGraphicFramePr>
        <xdr:cNvPr id="2066043647" name="Chart 13" title="Gráfico">
          <a:extLst>
            <a:ext uri="{FF2B5EF4-FFF2-40B4-BE49-F238E27FC236}">
              <a16:creationId xmlns:a16="http://schemas.microsoft.com/office/drawing/2014/main" id="{00000000-0008-0000-0100-0000FF522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17</xdr:col>
      <xdr:colOff>276225</xdr:colOff>
      <xdr:row>107</xdr:row>
      <xdr:rowOff>142875</xdr:rowOff>
    </xdr:from>
    <xdr:ext cx="11153775" cy="3438525"/>
    <xdr:graphicFrame macro="">
      <xdr:nvGraphicFramePr>
        <xdr:cNvPr id="1052385206" name="Chart 14">
          <a:extLst>
            <a:ext uri="{FF2B5EF4-FFF2-40B4-BE49-F238E27FC236}">
              <a16:creationId xmlns:a16="http://schemas.microsoft.com/office/drawing/2014/main" id="{00000000-0008-0000-0100-0000B61FB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14</xdr:col>
      <xdr:colOff>228600</xdr:colOff>
      <xdr:row>166</xdr:row>
      <xdr:rowOff>85725</xdr:rowOff>
    </xdr:from>
    <xdr:ext cx="6410325" cy="3038475"/>
    <xdr:graphicFrame macro="">
      <xdr:nvGraphicFramePr>
        <xdr:cNvPr id="949900914" name="Chart 15">
          <a:extLst>
            <a:ext uri="{FF2B5EF4-FFF2-40B4-BE49-F238E27FC236}">
              <a16:creationId xmlns:a16="http://schemas.microsoft.com/office/drawing/2014/main" id="{00000000-0008-0000-0100-000072569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oneCellAnchor>
    <xdr:from>
      <xdr:col>17</xdr:col>
      <xdr:colOff>419100</xdr:colOff>
      <xdr:row>151</xdr:row>
      <xdr:rowOff>152400</xdr:rowOff>
    </xdr:from>
    <xdr:ext cx="600075" cy="209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050725" y="3679988"/>
          <a:ext cx="5905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Calibri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NE</a:t>
          </a:r>
          <a:endParaRPr sz="1400"/>
        </a:p>
      </xdr:txBody>
    </xdr:sp>
    <xdr:clientData fLocksWithSheet="0"/>
  </xdr:oneCellAnchor>
  <xdr:oneCellAnchor>
    <xdr:from>
      <xdr:col>18</xdr:col>
      <xdr:colOff>28575</xdr:colOff>
      <xdr:row>151</xdr:row>
      <xdr:rowOff>123825</xdr:rowOff>
    </xdr:from>
    <xdr:ext cx="32385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188838" y="3689513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Calibri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NE</a:t>
          </a:r>
          <a:endParaRPr sz="1400"/>
        </a:p>
      </xdr:txBody>
    </xdr:sp>
    <xdr:clientData fLocksWithSheet="0"/>
  </xdr:oneCellAnchor>
  <xdr:oneCellAnchor>
    <xdr:from>
      <xdr:col>1</xdr:col>
      <xdr:colOff>57150</xdr:colOff>
      <xdr:row>100</xdr:row>
      <xdr:rowOff>9525</xdr:rowOff>
    </xdr:from>
    <xdr:ext cx="485775" cy="361950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2181225</xdr:colOff>
      <xdr:row>137</xdr:row>
      <xdr:rowOff>171450</xdr:rowOff>
    </xdr:from>
    <xdr:ext cx="628650" cy="28575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2133600</xdr:colOff>
      <xdr:row>149</xdr:row>
      <xdr:rowOff>104775</xdr:rowOff>
    </xdr:from>
    <xdr:ext cx="619125" cy="266700"/>
    <xdr:pic>
      <xdr:nvPicPr>
        <xdr:cNvPr id="6" name="image6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140</xdr:row>
      <xdr:rowOff>114300</xdr:rowOff>
    </xdr:from>
    <xdr:ext cx="628650" cy="28575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2066925</xdr:colOff>
      <xdr:row>193</xdr:row>
      <xdr:rowOff>57150</xdr:rowOff>
    </xdr:from>
    <xdr:ext cx="638175" cy="266700"/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1447800</xdr:colOff>
      <xdr:row>22</xdr:row>
      <xdr:rowOff>38100</xdr:rowOff>
    </xdr:from>
    <xdr:ext cx="685800" cy="54292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136</xdr:row>
      <xdr:rowOff>66675</xdr:rowOff>
    </xdr:from>
    <xdr:ext cx="619125" cy="2000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22</xdr:row>
      <xdr:rowOff>114300</xdr:rowOff>
    </xdr:from>
    <xdr:ext cx="685800" cy="200025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485775" cy="400050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685800" cy="200025"/>
    <xdr:pic>
      <xdr:nvPicPr>
        <xdr:cNvPr id="13" name="image5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619125" cy="171450"/>
    <xdr:pic>
      <xdr:nvPicPr>
        <xdr:cNvPr id="14" name="image5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619125" cy="171450"/>
    <xdr:pic>
      <xdr:nvPicPr>
        <xdr:cNvPr id="15" name="image5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uario/Downloads/ESTE%20SI%202025%20ADHERENCIA%20PROTOCOLO%20DE%20AISLAMIENTOS%202025%20Noviembre.xlsx" TargetMode="External"/><Relationship Id="rId1" Type="http://schemas.openxmlformats.org/officeDocument/2006/relationships/externalLinkPath" Target="/Users/Usuario/Downloads/ESTE%20SI%202025%20ADHERENCIA%20PROTOCOLO%20DE%20AISLAMIENTOS%202025%20Nov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SOLIDADO"/>
      <sheetName val="CUMPLIMIENTO 2026"/>
      <sheetName val="ENE 2026"/>
      <sheetName val="FEB 2026"/>
      <sheetName val="MAR 2026"/>
      <sheetName val="ABR 2026"/>
      <sheetName val="MAY 2026"/>
      <sheetName val="JUN 2026"/>
      <sheetName val="JUL 2026"/>
      <sheetName val="AGO 2026"/>
      <sheetName val="SEPT 2026"/>
      <sheetName val="OCT 2026"/>
      <sheetName val="NOV 2026"/>
      <sheetName val="DIC 2026"/>
      <sheetName val="BASE"/>
      <sheetName val="VALIDADORES"/>
      <sheetName val="ENE 2025"/>
      <sheetName val="FEB 2025"/>
      <sheetName val="MAR 2025"/>
      <sheetName val="ABR 2025"/>
      <sheetName val="MAY 2025"/>
      <sheetName val="JUN 2025"/>
      <sheetName val="JUL 2025"/>
      <sheetName val="AGO 2025"/>
      <sheetName val="SEPT 2025"/>
      <sheetName val="OCT 2025"/>
      <sheetName val="NOV 2025"/>
      <sheetName val="DIC 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3:N1000"/>
  <sheetViews>
    <sheetView workbookViewId="0">
      <selection activeCell="D9" sqref="D9"/>
    </sheetView>
  </sheetViews>
  <sheetFormatPr baseColWidth="10" defaultColWidth="14.42578125" defaultRowHeight="15" customHeight="1"/>
  <cols>
    <col min="1" max="13" width="11.42578125" customWidth="1"/>
    <col min="14" max="14" width="10" customWidth="1"/>
  </cols>
  <sheetData>
    <row r="3" spans="1:14" ht="31.5" customHeight="1">
      <c r="A3" s="143" t="s">
        <v>0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9"/>
    </row>
    <row r="4" spans="1:1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2" t="s">
        <v>14</v>
      </c>
    </row>
    <row r="5" spans="1:14">
      <c r="A5" s="3">
        <v>2022</v>
      </c>
      <c r="B5" s="4">
        <v>0.89130434782608692</v>
      </c>
      <c r="C5" s="4">
        <v>0.94594594594594594</v>
      </c>
      <c r="D5" s="4">
        <v>1</v>
      </c>
      <c r="E5" s="4">
        <v>0.81818181818181823</v>
      </c>
      <c r="F5" s="4">
        <v>0.85</v>
      </c>
      <c r="G5" s="4">
        <v>0.94366197183098588</v>
      </c>
      <c r="H5" s="4">
        <v>0.85416666666666663</v>
      </c>
      <c r="I5" s="4">
        <v>0.82926829268292679</v>
      </c>
      <c r="J5" s="4">
        <v>0.82222222222222219</v>
      </c>
      <c r="K5" s="4">
        <v>0.87037037037037035</v>
      </c>
      <c r="L5" s="4">
        <v>0.86</v>
      </c>
      <c r="M5" s="4">
        <v>1</v>
      </c>
      <c r="N5" s="4">
        <f t="shared" ref="N5:N17" si="0">AVERAGE(C5:M5)</f>
        <v>0.89034702617281236</v>
      </c>
    </row>
    <row r="6" spans="1:14">
      <c r="A6" s="3">
        <v>2023</v>
      </c>
      <c r="B6" s="4">
        <v>0.78947368421052633</v>
      </c>
      <c r="C6" s="4">
        <v>0.77142857142857146</v>
      </c>
      <c r="D6" s="4">
        <v>0.85245901639344257</v>
      </c>
      <c r="E6" s="4">
        <v>0.87755102040816324</v>
      </c>
      <c r="F6" s="4">
        <v>0.89473684210526316</v>
      </c>
      <c r="G6" s="4">
        <v>0.87301587301587302</v>
      </c>
      <c r="H6" s="4">
        <v>0.84615384615384615</v>
      </c>
      <c r="I6" s="4">
        <v>0.8571428571428571</v>
      </c>
      <c r="J6" s="4">
        <v>0.89230769230769236</v>
      </c>
      <c r="K6" s="4">
        <v>0.89855072463768115</v>
      </c>
      <c r="L6" s="4">
        <v>0.88888888888888884</v>
      </c>
      <c r="M6" s="4">
        <v>0.86363636363636365</v>
      </c>
      <c r="N6" s="4">
        <f t="shared" si="0"/>
        <v>0.86507924510169476</v>
      </c>
    </row>
    <row r="7" spans="1:14">
      <c r="A7" s="3">
        <v>2024</v>
      </c>
      <c r="B7" s="4">
        <v>0.82608695652173914</v>
      </c>
      <c r="C7" s="4">
        <v>0.83783783783783783</v>
      </c>
      <c r="D7" s="4">
        <v>0.80645161290322576</v>
      </c>
      <c r="E7" s="4">
        <v>0.88</v>
      </c>
      <c r="F7" s="4">
        <v>0.82222222222222219</v>
      </c>
      <c r="G7" s="4">
        <v>0.80198019801980203</v>
      </c>
      <c r="H7" s="4">
        <v>0.82692307692307687</v>
      </c>
      <c r="I7" s="4">
        <v>0.82758620689655171</v>
      </c>
      <c r="J7" s="4">
        <v>0.85</v>
      </c>
      <c r="K7" s="4">
        <v>0.82051282051282048</v>
      </c>
      <c r="L7" s="4">
        <v>0.86</v>
      </c>
      <c r="M7" s="4">
        <v>0.8571428571428571</v>
      </c>
      <c r="N7" s="4">
        <f t="shared" si="0"/>
        <v>0.83551425749621755</v>
      </c>
    </row>
    <row r="8" spans="1:14">
      <c r="A8" s="3">
        <v>2025</v>
      </c>
      <c r="B8" s="4">
        <v>0.83</v>
      </c>
      <c r="C8" s="4">
        <v>0.84</v>
      </c>
      <c r="D8" s="4">
        <v>0.8</v>
      </c>
      <c r="E8" s="4">
        <v>0.83</v>
      </c>
      <c r="F8" s="4">
        <v>0.83</v>
      </c>
      <c r="G8" s="4">
        <v>0.81</v>
      </c>
      <c r="H8" s="4">
        <v>0.83</v>
      </c>
      <c r="I8" s="4">
        <v>0.85</v>
      </c>
      <c r="J8" s="4">
        <v>0.84</v>
      </c>
      <c r="K8" s="4">
        <v>0.87</v>
      </c>
      <c r="L8" s="4">
        <v>0.8</v>
      </c>
      <c r="M8" s="4">
        <v>0.82</v>
      </c>
      <c r="N8" s="4">
        <f t="shared" si="0"/>
        <v>0.82909090909090921</v>
      </c>
    </row>
    <row r="9" spans="1:14">
      <c r="A9" s="3">
        <v>2026</v>
      </c>
      <c r="B9" s="4">
        <f>'CUMPLIMIENTO 2026'!B5</f>
        <v>0.85</v>
      </c>
      <c r="C9" s="4" t="e">
        <f>'CUMPLIMIENTO 2026'!C5</f>
        <v>#REF!</v>
      </c>
      <c r="D9" s="4" t="e">
        <f>'CUMPLIMIENTO 2026'!D5</f>
        <v>#REF!</v>
      </c>
      <c r="E9" s="4" t="e">
        <f>'CUMPLIMIENTO 2026'!E5</f>
        <v>#REF!</v>
      </c>
      <c r="F9" s="4" t="e">
        <f>'CUMPLIMIENTO 2026'!F5</f>
        <v>#REF!</v>
      </c>
      <c r="G9" s="4" t="e">
        <f>'CUMPLIMIENTO 2026'!G5</f>
        <v>#REF!</v>
      </c>
      <c r="H9" s="4" t="e">
        <f>'CUMPLIMIENTO 2026'!H5</f>
        <v>#REF!</v>
      </c>
      <c r="I9" s="4" t="e">
        <f>'CUMPLIMIENTO 2026'!I5</f>
        <v>#REF!</v>
      </c>
      <c r="J9" s="4" t="e">
        <f>'CUMPLIMIENTO 2026'!J5</f>
        <v>#REF!</v>
      </c>
      <c r="K9" s="4" t="e">
        <f>'CUMPLIMIENTO 2026'!K5</f>
        <v>#REF!</v>
      </c>
      <c r="L9" s="4" t="e">
        <f>'CUMPLIMIENTO 2026'!L5</f>
        <v>#REF!</v>
      </c>
      <c r="M9" s="4" t="e">
        <f>'CUMPLIMIENTO 2026'!M5</f>
        <v>#REF!</v>
      </c>
      <c r="N9" s="4" t="e">
        <f t="shared" si="0"/>
        <v>#REF!</v>
      </c>
    </row>
    <row r="10" spans="1:14">
      <c r="A10" s="3">
        <v>2027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 t="e">
        <f t="shared" si="0"/>
        <v>#DIV/0!</v>
      </c>
    </row>
    <row r="11" spans="1:14">
      <c r="A11" s="3">
        <v>2028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e">
        <f t="shared" si="0"/>
        <v>#DIV/0!</v>
      </c>
    </row>
    <row r="12" spans="1:14">
      <c r="A12" s="3">
        <v>2029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e">
        <f t="shared" si="0"/>
        <v>#DIV/0!</v>
      </c>
    </row>
    <row r="13" spans="1:14">
      <c r="A13" s="3">
        <v>2030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e">
        <f t="shared" si="0"/>
        <v>#DIV/0!</v>
      </c>
    </row>
    <row r="14" spans="1:14">
      <c r="A14" s="3">
        <v>2031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 t="e">
        <f t="shared" si="0"/>
        <v>#DIV/0!</v>
      </c>
    </row>
    <row r="15" spans="1:14">
      <c r="A15" s="3">
        <v>2032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e">
        <f t="shared" si="0"/>
        <v>#DIV/0!</v>
      </c>
    </row>
    <row r="16" spans="1:14">
      <c r="A16" s="3">
        <v>2033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 t="e">
        <f t="shared" si="0"/>
        <v>#DIV/0!</v>
      </c>
    </row>
    <row r="17" spans="1:14">
      <c r="A17" s="3">
        <v>2034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e">
        <f t="shared" si="0"/>
        <v>#DIV/0!</v>
      </c>
    </row>
    <row r="18" spans="1:14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5" t="s">
        <v>15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7"/>
    </row>
    <row r="21" spans="1:14" ht="15.75" customHeight="1"/>
    <row r="22" spans="1:14" ht="15.75" customHeight="1"/>
    <row r="23" spans="1:14" ht="15.75" customHeight="1"/>
    <row r="24" spans="1:14" ht="15.75" customHeight="1"/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M3"/>
  </mergeCells>
  <conditionalFormatting sqref="B5:N18">
    <cfRule type="cellIs" dxfId="41" priority="1" operator="lessThan">
      <formula>0.7</formula>
    </cfRule>
    <cfRule type="cellIs" dxfId="40" priority="2" operator="greaterThan">
      <formula>0.7</formula>
    </cfRule>
  </conditionalFormatting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2"/>
  <sheetViews>
    <sheetView topLeftCell="A10" workbookViewId="0">
      <selection activeCell="E22" sqref="E22"/>
    </sheetView>
  </sheetViews>
  <sheetFormatPr baseColWidth="10" defaultColWidth="14.42578125" defaultRowHeight="15" customHeight="1"/>
  <cols>
    <col min="1" max="1" width="33.140625" customWidth="1"/>
    <col min="2" max="2" width="9.28515625" customWidth="1"/>
    <col min="3" max="5" width="10.85546875" customWidth="1"/>
    <col min="6" max="6" width="19.85546875" customWidth="1"/>
    <col min="7" max="13" width="10.85546875" customWidth="1"/>
    <col min="14" max="14" width="14.85546875" customWidth="1"/>
    <col min="15" max="15" width="17.5703125" customWidth="1"/>
    <col min="16" max="16" width="19.28515625" customWidth="1"/>
    <col min="17" max="17" width="17.42578125" customWidth="1"/>
  </cols>
  <sheetData>
    <row r="1" spans="1:35" ht="43.5" customHeight="1">
      <c r="A1" s="148" t="s">
        <v>16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9"/>
    </row>
    <row r="2" spans="1:35" ht="18.75" customHeight="1">
      <c r="A2" s="8" t="s">
        <v>17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10" t="s">
        <v>12</v>
      </c>
      <c r="M2" s="10" t="s">
        <v>13</v>
      </c>
      <c r="N2" s="10" t="s">
        <v>18</v>
      </c>
      <c r="O2" s="11"/>
      <c r="P2" s="11"/>
      <c r="Q2" s="11"/>
    </row>
    <row r="3" spans="1:35" ht="18.75" customHeight="1">
      <c r="A3" s="12" t="s">
        <v>19</v>
      </c>
      <c r="B3" s="13">
        <f>'ENE 2026'!C6</f>
        <v>40</v>
      </c>
      <c r="C3" s="13" t="e">
        <f>#REF!</f>
        <v>#REF!</v>
      </c>
      <c r="D3" s="13" t="e">
        <f>#REF!</f>
        <v>#REF!</v>
      </c>
      <c r="E3" s="13" t="e">
        <f>#REF!</f>
        <v>#REF!</v>
      </c>
      <c r="F3" s="13" t="e">
        <f>#REF!</f>
        <v>#REF!</v>
      </c>
      <c r="G3" s="13" t="e">
        <f>#REF!</f>
        <v>#REF!</v>
      </c>
      <c r="H3" s="13" t="e">
        <f>#REF!</f>
        <v>#REF!</v>
      </c>
      <c r="I3" s="13" t="e">
        <f>#REF!</f>
        <v>#REF!</v>
      </c>
      <c r="J3" s="13" t="e">
        <f>#REF!</f>
        <v>#REF!</v>
      </c>
      <c r="K3" s="13" t="e">
        <f>#REF!</f>
        <v>#REF!</v>
      </c>
      <c r="L3" s="13" t="e">
        <f>#REF!</f>
        <v>#REF!</v>
      </c>
      <c r="M3" s="13" t="e">
        <f>#REF!</f>
        <v>#REF!</v>
      </c>
      <c r="N3" s="14" t="e">
        <f t="shared" ref="N3:N6" si="0">AVERAGE(B3:M3)</f>
        <v>#REF!</v>
      </c>
      <c r="O3" s="15"/>
      <c r="P3" s="15"/>
      <c r="Q3" s="15"/>
    </row>
    <row r="4" spans="1:35" ht="18.75" customHeight="1">
      <c r="A4" s="12" t="s">
        <v>20</v>
      </c>
      <c r="B4" s="13">
        <f>'ENE 2026'!B6</f>
        <v>34</v>
      </c>
      <c r="C4" s="13" t="e">
        <f>#REF!</f>
        <v>#REF!</v>
      </c>
      <c r="D4" s="13" t="e">
        <f>#REF!</f>
        <v>#REF!</v>
      </c>
      <c r="E4" s="16" t="e">
        <f>#REF!</f>
        <v>#REF!</v>
      </c>
      <c r="F4" s="16" t="e">
        <f>#REF!</f>
        <v>#REF!</v>
      </c>
      <c r="G4" s="16" t="e">
        <f>#REF!</f>
        <v>#REF!</v>
      </c>
      <c r="H4" s="16" t="e">
        <f>#REF!</f>
        <v>#REF!</v>
      </c>
      <c r="I4" s="16" t="e">
        <f>#REF!</f>
        <v>#REF!</v>
      </c>
      <c r="J4" s="16" t="e">
        <f>#REF!</f>
        <v>#REF!</v>
      </c>
      <c r="K4" s="16" t="e">
        <f>#REF!</f>
        <v>#REF!</v>
      </c>
      <c r="L4" s="16" t="e">
        <f>#REF!</f>
        <v>#REF!</v>
      </c>
      <c r="M4" s="16" t="e">
        <f>#REF!</f>
        <v>#REF!</v>
      </c>
      <c r="N4" s="14" t="e">
        <f t="shared" si="0"/>
        <v>#REF!</v>
      </c>
      <c r="O4" s="15"/>
      <c r="P4" s="15"/>
      <c r="Q4" s="15"/>
    </row>
    <row r="5" spans="1:35" ht="21.75" customHeight="1">
      <c r="A5" s="17">
        <v>20.260000000000002</v>
      </c>
      <c r="B5" s="18">
        <f t="shared" ref="B5:M5" si="1">B4/B3</f>
        <v>0.85</v>
      </c>
      <c r="C5" s="18" t="e">
        <f t="shared" si="1"/>
        <v>#REF!</v>
      </c>
      <c r="D5" s="18" t="e">
        <f t="shared" si="1"/>
        <v>#REF!</v>
      </c>
      <c r="E5" s="18" t="e">
        <f t="shared" si="1"/>
        <v>#REF!</v>
      </c>
      <c r="F5" s="18" t="e">
        <f t="shared" si="1"/>
        <v>#REF!</v>
      </c>
      <c r="G5" s="18" t="e">
        <f t="shared" si="1"/>
        <v>#REF!</v>
      </c>
      <c r="H5" s="18" t="e">
        <f t="shared" si="1"/>
        <v>#REF!</v>
      </c>
      <c r="I5" s="18" t="e">
        <f t="shared" si="1"/>
        <v>#REF!</v>
      </c>
      <c r="J5" s="18" t="e">
        <f t="shared" si="1"/>
        <v>#REF!</v>
      </c>
      <c r="K5" s="18" t="e">
        <f t="shared" si="1"/>
        <v>#REF!</v>
      </c>
      <c r="L5" s="18" t="e">
        <f t="shared" si="1"/>
        <v>#REF!</v>
      </c>
      <c r="M5" s="18" t="e">
        <f t="shared" si="1"/>
        <v>#REF!</v>
      </c>
      <c r="N5" s="19" t="e">
        <f t="shared" si="0"/>
        <v>#REF!</v>
      </c>
      <c r="O5" s="20"/>
      <c r="P5" s="20"/>
      <c r="Q5" s="20"/>
    </row>
    <row r="6" spans="1:35" ht="18.75">
      <c r="A6" s="21" t="s">
        <v>15</v>
      </c>
      <c r="B6" s="22">
        <v>0.9</v>
      </c>
      <c r="C6" s="22">
        <v>0.9</v>
      </c>
      <c r="D6" s="22">
        <v>0.9</v>
      </c>
      <c r="E6" s="22">
        <v>0.9</v>
      </c>
      <c r="F6" s="22">
        <v>0.9</v>
      </c>
      <c r="G6" s="22">
        <v>0.9</v>
      </c>
      <c r="H6" s="22">
        <v>0.9</v>
      </c>
      <c r="I6" s="22">
        <v>0.9</v>
      </c>
      <c r="J6" s="22">
        <v>0.9</v>
      </c>
      <c r="K6" s="22">
        <v>0.9</v>
      </c>
      <c r="L6" s="22">
        <v>0.9</v>
      </c>
      <c r="M6" s="22">
        <v>0.9</v>
      </c>
      <c r="N6" s="23">
        <f t="shared" si="0"/>
        <v>0.90000000000000024</v>
      </c>
      <c r="O6" s="24"/>
      <c r="P6" s="24"/>
      <c r="Q6" s="24"/>
    </row>
    <row r="7" spans="1:35">
      <c r="A7" s="25"/>
      <c r="B7" s="26"/>
      <c r="C7" s="26"/>
      <c r="D7" s="26"/>
      <c r="E7" s="26"/>
      <c r="F7" s="27"/>
      <c r="G7" s="27"/>
      <c r="H7" s="28"/>
      <c r="I7" s="26"/>
      <c r="J7" s="26"/>
      <c r="K7" s="26"/>
      <c r="L7" s="26"/>
      <c r="M7" s="26"/>
      <c r="N7" s="29"/>
      <c r="O7" s="26"/>
      <c r="P7" s="26"/>
      <c r="Q7" s="26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</row>
    <row r="8" spans="1:35" ht="30.75" customHeight="1">
      <c r="A8" s="30" t="s">
        <v>21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  <c r="O8" s="31"/>
      <c r="P8" s="31"/>
      <c r="Q8" s="31"/>
    </row>
    <row r="9" spans="1:35" ht="31.5" customHeight="1">
      <c r="A9" s="33" t="s">
        <v>22</v>
      </c>
      <c r="B9" s="34" t="e">
        <f>(B4+C4+D4)/(B3+C3+D3)</f>
        <v>#REF!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2"/>
      <c r="O9" s="31"/>
      <c r="P9" s="31"/>
      <c r="Q9" s="31"/>
    </row>
    <row r="10" spans="1:35" ht="31.5" customHeight="1">
      <c r="A10" s="35" t="s">
        <v>23</v>
      </c>
      <c r="B10" s="36" t="e">
        <f>(E4+F4+G4)/(E3+F3+G3)</f>
        <v>#REF!</v>
      </c>
      <c r="C10" s="31"/>
      <c r="D10" s="31"/>
      <c r="E10" s="31"/>
      <c r="F10" s="31"/>
      <c r="G10" s="31"/>
      <c r="H10" s="31"/>
      <c r="I10" s="37"/>
      <c r="J10" s="31"/>
      <c r="K10" s="31"/>
      <c r="L10" s="31"/>
      <c r="M10" s="31"/>
      <c r="N10" s="32"/>
      <c r="O10" s="31"/>
      <c r="P10" s="31"/>
      <c r="Q10" s="31"/>
    </row>
    <row r="11" spans="1:35" ht="31.5" customHeight="1">
      <c r="A11" s="38" t="s">
        <v>24</v>
      </c>
      <c r="B11" s="39" t="e">
        <f>(H4+I4+J4)/(H3+I3+J3)</f>
        <v>#REF!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2"/>
      <c r="O11" s="31"/>
      <c r="P11" s="31"/>
      <c r="Q11" s="31"/>
    </row>
    <row r="12" spans="1:35" ht="31.5" customHeight="1">
      <c r="A12" s="40" t="s">
        <v>25</v>
      </c>
      <c r="B12" s="41" t="e">
        <f>(K4+L4+M4)/(K3+L3+M3)</f>
        <v>#REF!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2"/>
      <c r="O12" s="31"/>
      <c r="P12" s="31"/>
      <c r="Q12" s="31"/>
    </row>
    <row r="13" spans="1:35">
      <c r="A13" s="42" t="s">
        <v>26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O13" s="24"/>
      <c r="P13" s="24"/>
      <c r="Q13" s="24"/>
    </row>
    <row r="14" spans="1:35">
      <c r="A14" s="4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O14" s="24"/>
      <c r="P14" s="24"/>
      <c r="Q14" s="24"/>
    </row>
    <row r="15" spans="1:35">
      <c r="A15" s="4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O15" s="24"/>
      <c r="P15" s="24"/>
      <c r="Q15" s="24"/>
    </row>
    <row r="16" spans="1:35" ht="59.25" customHeight="1">
      <c r="A16" s="149" t="s">
        <v>27</v>
      </c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9"/>
    </row>
    <row r="17" spans="1:17">
      <c r="A17" s="44" t="s">
        <v>17</v>
      </c>
      <c r="B17" s="45" t="s">
        <v>2</v>
      </c>
      <c r="C17" s="45" t="s">
        <v>3</v>
      </c>
      <c r="D17" s="45" t="s">
        <v>4</v>
      </c>
      <c r="E17" s="45" t="s">
        <v>5</v>
      </c>
      <c r="F17" s="45" t="s">
        <v>6</v>
      </c>
      <c r="G17" s="45" t="s">
        <v>7</v>
      </c>
      <c r="H17" s="45" t="s">
        <v>8</v>
      </c>
      <c r="I17" s="45" t="s">
        <v>9</v>
      </c>
      <c r="J17" s="45" t="s">
        <v>10</v>
      </c>
      <c r="K17" s="46" t="s">
        <v>11</v>
      </c>
      <c r="L17" s="46" t="s">
        <v>12</v>
      </c>
      <c r="M17" s="46" t="s">
        <v>13</v>
      </c>
      <c r="N17" s="47" t="s">
        <v>28</v>
      </c>
      <c r="O17" s="47" t="s">
        <v>29</v>
      </c>
      <c r="P17" s="47" t="s">
        <v>30</v>
      </c>
      <c r="Q17" s="47" t="s">
        <v>31</v>
      </c>
    </row>
    <row r="18" spans="1:17" ht="18.75" customHeight="1">
      <c r="A18" s="48" t="s">
        <v>32</v>
      </c>
      <c r="B18" s="18">
        <f>'ENE 2026'!D2</f>
        <v>1</v>
      </c>
      <c r="C18" s="18" t="e">
        <f>#REF!</f>
        <v>#REF!</v>
      </c>
      <c r="D18" s="18" t="e">
        <f>#REF!</f>
        <v>#REF!</v>
      </c>
      <c r="E18" s="18" t="s">
        <v>142</v>
      </c>
      <c r="F18" s="18" t="e">
        <f>#REF!</f>
        <v>#REF!</v>
      </c>
      <c r="G18" s="18" t="e">
        <f>#REF!</f>
        <v>#REF!</v>
      </c>
      <c r="H18" s="18" t="e">
        <f>#REF!</f>
        <v>#REF!</v>
      </c>
      <c r="I18" s="18" t="e">
        <f>#REF!</f>
        <v>#REF!</v>
      </c>
      <c r="J18" s="18" t="e">
        <f>#REF!</f>
        <v>#REF!</v>
      </c>
      <c r="K18" s="18" t="e">
        <f>#REF!</f>
        <v>#REF!</v>
      </c>
      <c r="L18" s="18" t="e">
        <f>#REF!</f>
        <v>#REF!</v>
      </c>
      <c r="M18" s="18" t="e">
        <f>#REF!</f>
        <v>#REF!</v>
      </c>
      <c r="N18" s="18" t="e">
        <f t="shared" ref="N18:N22" si="2">AVERAGE(B18:B18:D18)</f>
        <v>#REF!</v>
      </c>
      <c r="O18" s="18"/>
      <c r="P18" s="18"/>
      <c r="Q18" s="18"/>
    </row>
    <row r="19" spans="1:17" ht="18.75" customHeight="1">
      <c r="A19" s="48" t="s">
        <v>33</v>
      </c>
      <c r="B19" s="18">
        <f>'ENE 2026'!D3</f>
        <v>0.83333333333333337</v>
      </c>
      <c r="C19" s="18" t="e">
        <f>#REF!</f>
        <v>#REF!</v>
      </c>
      <c r="D19" s="18" t="e">
        <f>#REF!</f>
        <v>#REF!</v>
      </c>
      <c r="E19" s="18" t="s">
        <v>142</v>
      </c>
      <c r="F19" s="18" t="e">
        <f>#REF!</f>
        <v>#REF!</v>
      </c>
      <c r="G19" s="18" t="e">
        <f>#REF!</f>
        <v>#REF!</v>
      </c>
      <c r="H19" s="18" t="e">
        <f>#REF!</f>
        <v>#REF!</v>
      </c>
      <c r="I19" s="18" t="e">
        <f>#REF!</f>
        <v>#REF!</v>
      </c>
      <c r="J19" s="18" t="e">
        <f>#REF!</f>
        <v>#REF!</v>
      </c>
      <c r="K19" s="18" t="e">
        <f>#REF!</f>
        <v>#REF!</v>
      </c>
      <c r="L19" s="18" t="e">
        <f>#REF!</f>
        <v>#REF!</v>
      </c>
      <c r="M19" s="18" t="e">
        <f>#REF!</f>
        <v>#REF!</v>
      </c>
      <c r="N19" s="18">
        <f t="shared" si="2"/>
        <v>0.90109890109890112</v>
      </c>
      <c r="O19" s="18"/>
      <c r="P19" s="18"/>
      <c r="Q19" s="18"/>
    </row>
    <row r="20" spans="1:17" ht="18.75" customHeight="1">
      <c r="A20" s="49" t="s">
        <v>34</v>
      </c>
      <c r="B20" s="18">
        <f>'ENE 2026'!D4</f>
        <v>0.88888888888888884</v>
      </c>
      <c r="C20" s="18" t="e">
        <f>#REF!</f>
        <v>#REF!</v>
      </c>
      <c r="D20" s="18" t="e">
        <f>#REF!</f>
        <v>#REF!</v>
      </c>
      <c r="E20" s="18" t="s">
        <v>142</v>
      </c>
      <c r="F20" s="18" t="e">
        <f>#REF!</f>
        <v>#REF!</v>
      </c>
      <c r="G20" s="18" t="e">
        <f>#REF!</f>
        <v>#REF!</v>
      </c>
      <c r="H20" s="18" t="e">
        <f>#REF!</f>
        <v>#REF!</v>
      </c>
      <c r="I20" s="18" t="e">
        <f>#REF!</f>
        <v>#REF!</v>
      </c>
      <c r="J20" s="18" t="e">
        <f>#REF!</f>
        <v>#REF!</v>
      </c>
      <c r="K20" s="18" t="e">
        <f>#REF!</f>
        <v>#REF!</v>
      </c>
      <c r="L20" s="18" t="e">
        <f>#REF!</f>
        <v>#REF!</v>
      </c>
      <c r="M20" s="18" t="e">
        <f>#REF!</f>
        <v>#REF!</v>
      </c>
      <c r="N20" s="18">
        <f t="shared" si="2"/>
        <v>0.90109890109890112</v>
      </c>
      <c r="O20" s="18"/>
      <c r="P20" s="18"/>
      <c r="Q20" s="18"/>
    </row>
    <row r="21" spans="1:17" ht="18.75" customHeight="1">
      <c r="A21" s="50" t="s">
        <v>35</v>
      </c>
      <c r="B21" s="18">
        <f>'ENE 2026'!D5</f>
        <v>0.81818181818181823</v>
      </c>
      <c r="C21" s="18" t="e">
        <f>#REF!</f>
        <v>#REF!</v>
      </c>
      <c r="D21" s="18" t="e">
        <f>#REF!</f>
        <v>#REF!</v>
      </c>
      <c r="E21" s="18" t="s">
        <v>142</v>
      </c>
      <c r="F21" s="18" t="e">
        <f>#REF!</f>
        <v>#REF!</v>
      </c>
      <c r="G21" s="18" t="e">
        <f>#REF!</f>
        <v>#REF!</v>
      </c>
      <c r="H21" s="18" t="e">
        <f>#REF!</f>
        <v>#REF!</v>
      </c>
      <c r="I21" s="18" t="e">
        <f>#REF!</f>
        <v>#REF!</v>
      </c>
      <c r="J21" s="18" t="e">
        <f>#REF!</f>
        <v>#REF!</v>
      </c>
      <c r="K21" s="18" t="e">
        <f>#REF!</f>
        <v>#REF!</v>
      </c>
      <c r="L21" s="18" t="e">
        <f>#REF!</f>
        <v>#REF!</v>
      </c>
      <c r="M21" s="18" t="e">
        <f>#REF!</f>
        <v>#REF!</v>
      </c>
      <c r="N21" s="18">
        <f t="shared" si="2"/>
        <v>0.90109890109890112</v>
      </c>
      <c r="O21" s="18"/>
      <c r="P21" s="18"/>
      <c r="Q21" s="18"/>
    </row>
    <row r="22" spans="1:17" ht="15.75" customHeight="1">
      <c r="A22" s="21" t="s">
        <v>15</v>
      </c>
      <c r="B22" s="22">
        <v>0.9</v>
      </c>
      <c r="C22" s="22">
        <v>0.9</v>
      </c>
      <c r="D22" s="22">
        <v>0.9</v>
      </c>
      <c r="E22" s="22">
        <v>0.9</v>
      </c>
      <c r="F22" s="22">
        <v>0.9</v>
      </c>
      <c r="G22" s="22">
        <v>0.9</v>
      </c>
      <c r="H22" s="22">
        <v>0.9</v>
      </c>
      <c r="I22" s="22">
        <v>0.9</v>
      </c>
      <c r="J22" s="22">
        <v>0.9</v>
      </c>
      <c r="K22" s="22">
        <v>0.9</v>
      </c>
      <c r="L22" s="22">
        <v>0.9</v>
      </c>
      <c r="M22" s="22">
        <v>0.9</v>
      </c>
      <c r="N22" s="18">
        <f t="shared" si="2"/>
        <v>0.90109890109890112</v>
      </c>
      <c r="O22" s="18"/>
      <c r="P22" s="18"/>
      <c r="Q22" s="18"/>
    </row>
    <row r="23" spans="1:17" ht="15.75" customHeight="1">
      <c r="A23" s="7"/>
    </row>
    <row r="24" spans="1:17" ht="15.75" customHeight="1">
      <c r="A24" s="7"/>
    </row>
    <row r="25" spans="1:17" ht="15.75" customHeight="1">
      <c r="A25" s="7"/>
    </row>
    <row r="26" spans="1:17" ht="15.75" customHeight="1">
      <c r="A26" s="7"/>
    </row>
    <row r="27" spans="1:17" ht="15.75" customHeight="1">
      <c r="A27" s="7"/>
    </row>
    <row r="28" spans="1:17" ht="15.75" customHeight="1">
      <c r="A28" s="7"/>
    </row>
    <row r="29" spans="1:17" ht="15.75" customHeight="1">
      <c r="A29" s="7"/>
    </row>
    <row r="30" spans="1:17" ht="15.75" customHeight="1">
      <c r="A30" s="7"/>
    </row>
    <row r="31" spans="1:17" ht="15.75" customHeight="1">
      <c r="A31" s="7"/>
    </row>
    <row r="32" spans="1:17" ht="15.75" customHeight="1">
      <c r="A32" s="7"/>
    </row>
    <row r="33" spans="1:13" ht="15.75" customHeight="1">
      <c r="A33" s="7"/>
    </row>
    <row r="34" spans="1:13" ht="15.75" customHeight="1">
      <c r="A34" s="7"/>
    </row>
    <row r="35" spans="1:13" ht="26.25" customHeight="1">
      <c r="A35" s="150" t="s">
        <v>36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9"/>
    </row>
    <row r="36" spans="1:13" ht="15.75" customHeight="1">
      <c r="A36" s="51" t="s">
        <v>37</v>
      </c>
      <c r="B36" s="45" t="s">
        <v>2</v>
      </c>
      <c r="C36" s="52" t="s">
        <v>3</v>
      </c>
      <c r="D36" s="45" t="s">
        <v>4</v>
      </c>
      <c r="E36" s="45" t="s">
        <v>5</v>
      </c>
      <c r="F36" s="45" t="s">
        <v>6</v>
      </c>
      <c r="G36" s="45" t="s">
        <v>7</v>
      </c>
      <c r="H36" s="45" t="s">
        <v>8</v>
      </c>
      <c r="I36" s="45" t="s">
        <v>9</v>
      </c>
      <c r="J36" s="45" t="s">
        <v>10</v>
      </c>
      <c r="K36" s="46" t="s">
        <v>11</v>
      </c>
      <c r="L36" s="46" t="s">
        <v>12</v>
      </c>
      <c r="M36" s="46" t="s">
        <v>13</v>
      </c>
    </row>
    <row r="37" spans="1:13" ht="18.75" customHeight="1">
      <c r="A37" s="53" t="s">
        <v>38</v>
      </c>
      <c r="B37" s="18">
        <f>'ENE 2026'!D9</f>
        <v>0.86363636363636365</v>
      </c>
      <c r="C37" s="18" t="e">
        <f>#REF!</f>
        <v>#REF!</v>
      </c>
      <c r="D37" s="18" t="e">
        <f>#REF!</f>
        <v>#REF!</v>
      </c>
      <c r="E37" s="18" t="s">
        <v>142</v>
      </c>
      <c r="F37" s="18" t="e">
        <f>#REF!</f>
        <v>#REF!</v>
      </c>
      <c r="G37" s="18" t="e">
        <f>#REF!</f>
        <v>#REF!</v>
      </c>
      <c r="H37" s="18" t="e">
        <f>#REF!</f>
        <v>#REF!</v>
      </c>
      <c r="I37" s="18" t="e">
        <f>#REF!</f>
        <v>#REF!</v>
      </c>
      <c r="J37" s="18" t="e">
        <f>#REF!</f>
        <v>#REF!</v>
      </c>
      <c r="K37" s="18" t="e">
        <f>#REF!</f>
        <v>#REF!</v>
      </c>
      <c r="L37" s="18" t="e">
        <f>#REF!</f>
        <v>#REF!</v>
      </c>
      <c r="M37" s="18" t="e">
        <f>#REF!</f>
        <v>#REF!</v>
      </c>
    </row>
    <row r="38" spans="1:13" ht="18.75" customHeight="1">
      <c r="A38" s="53" t="s">
        <v>39</v>
      </c>
      <c r="B38" s="18">
        <f>'ENE 2026'!D10</f>
        <v>1</v>
      </c>
      <c r="C38" s="18" t="e">
        <f>#REF!</f>
        <v>#REF!</v>
      </c>
      <c r="D38" s="18" t="e">
        <f>#REF!</f>
        <v>#REF!</v>
      </c>
      <c r="E38" s="18" t="s">
        <v>142</v>
      </c>
      <c r="F38" s="18" t="e">
        <f>#REF!</f>
        <v>#REF!</v>
      </c>
      <c r="G38" s="18" t="e">
        <f>#REF!</f>
        <v>#REF!</v>
      </c>
      <c r="H38" s="18" t="e">
        <f>#REF!</f>
        <v>#REF!</v>
      </c>
      <c r="I38" s="18" t="e">
        <f>#REF!</f>
        <v>#REF!</v>
      </c>
      <c r="J38" s="18" t="e">
        <f>#REF!</f>
        <v>#REF!</v>
      </c>
      <c r="K38" s="18" t="e">
        <f>#REF!</f>
        <v>#REF!</v>
      </c>
      <c r="L38" s="18" t="e">
        <f>#REF!</f>
        <v>#REF!</v>
      </c>
      <c r="M38" s="18" t="e">
        <f>#REF!</f>
        <v>#REF!</v>
      </c>
    </row>
    <row r="39" spans="1:13" ht="18.75" customHeight="1">
      <c r="A39" s="53" t="s">
        <v>40</v>
      </c>
      <c r="B39" s="18">
        <f>'ENE 2026'!D11</f>
        <v>0.8571428571428571</v>
      </c>
      <c r="C39" s="18" t="e">
        <f>#REF!</f>
        <v>#REF!</v>
      </c>
      <c r="D39" s="18" t="e">
        <f>#REF!</f>
        <v>#REF!</v>
      </c>
      <c r="E39" s="18" t="s">
        <v>142</v>
      </c>
      <c r="F39" s="18" t="e">
        <f>#REF!</f>
        <v>#REF!</v>
      </c>
      <c r="G39" s="18" t="e">
        <f>#REF!</f>
        <v>#REF!</v>
      </c>
      <c r="H39" s="18" t="e">
        <f>#REF!</f>
        <v>#REF!</v>
      </c>
      <c r="I39" s="18" t="e">
        <f>#REF!</f>
        <v>#REF!</v>
      </c>
      <c r="J39" s="18" t="e">
        <f>#REF!</f>
        <v>#REF!</v>
      </c>
      <c r="K39" s="18" t="e">
        <f>#REF!</f>
        <v>#REF!</v>
      </c>
      <c r="L39" s="18" t="e">
        <f>#REF!</f>
        <v>#REF!</v>
      </c>
      <c r="M39" s="18" t="e">
        <f>#REF!</f>
        <v>#REF!</v>
      </c>
    </row>
    <row r="40" spans="1:13" ht="15.75" customHeight="1">
      <c r="A40" s="21" t="s">
        <v>15</v>
      </c>
      <c r="B40" s="22">
        <v>0.9</v>
      </c>
      <c r="C40" s="22">
        <v>0.9</v>
      </c>
      <c r="D40" s="22">
        <v>0.9</v>
      </c>
      <c r="E40" s="22">
        <v>0.9</v>
      </c>
      <c r="F40" s="22">
        <v>0.9</v>
      </c>
      <c r="G40" s="22">
        <v>0.9</v>
      </c>
      <c r="H40" s="22">
        <v>0.9</v>
      </c>
      <c r="I40" s="22">
        <v>0.9</v>
      </c>
      <c r="J40" s="22">
        <v>0.9</v>
      </c>
      <c r="K40" s="22">
        <v>0.9</v>
      </c>
      <c r="L40" s="22">
        <v>0.9</v>
      </c>
      <c r="M40" s="22">
        <v>0.9</v>
      </c>
    </row>
    <row r="41" spans="1:13" ht="15.75" customHeight="1">
      <c r="A41" s="7"/>
    </row>
    <row r="42" spans="1:13" ht="15.75" customHeight="1">
      <c r="A42" s="7"/>
    </row>
    <row r="43" spans="1:13" ht="15.75" customHeight="1">
      <c r="A43" s="7"/>
    </row>
    <row r="44" spans="1:13" ht="15.75" customHeight="1">
      <c r="A44" s="7"/>
    </row>
    <row r="45" spans="1:13" ht="15.75" customHeight="1">
      <c r="A45" s="7"/>
    </row>
    <row r="46" spans="1:13" ht="15.75" customHeight="1">
      <c r="A46" s="7"/>
    </row>
    <row r="47" spans="1:13" ht="15.75" customHeight="1">
      <c r="A47" s="7"/>
    </row>
    <row r="48" spans="1:13" ht="15.75" customHeight="1">
      <c r="A48" s="7"/>
    </row>
    <row r="49" spans="1:17" ht="15.75" customHeight="1">
      <c r="A49" s="7"/>
    </row>
    <row r="50" spans="1:17" ht="37.5" customHeight="1">
      <c r="A50" s="151" t="s">
        <v>41</v>
      </c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6"/>
      <c r="N50" s="54"/>
      <c r="O50" s="54"/>
      <c r="P50" s="54"/>
      <c r="Q50" s="54"/>
    </row>
    <row r="51" spans="1:17" ht="21" customHeight="1">
      <c r="A51" s="55" t="s">
        <v>33</v>
      </c>
      <c r="B51" s="56" t="s">
        <v>2</v>
      </c>
      <c r="C51" s="56" t="s">
        <v>3</v>
      </c>
      <c r="D51" s="56" t="s">
        <v>4</v>
      </c>
      <c r="E51" s="56" t="s">
        <v>5</v>
      </c>
      <c r="F51" s="56" t="s">
        <v>6</v>
      </c>
      <c r="G51" s="56" t="s">
        <v>7</v>
      </c>
      <c r="H51" s="56" t="s">
        <v>8</v>
      </c>
      <c r="I51" s="56" t="s">
        <v>9</v>
      </c>
      <c r="J51" s="56" t="s">
        <v>10</v>
      </c>
      <c r="K51" s="56" t="s">
        <v>11</v>
      </c>
      <c r="L51" s="56" t="s">
        <v>12</v>
      </c>
      <c r="M51" s="56" t="s">
        <v>13</v>
      </c>
      <c r="N51" s="56" t="s">
        <v>28</v>
      </c>
      <c r="O51" s="56" t="s">
        <v>29</v>
      </c>
      <c r="P51" s="56" t="s">
        <v>30</v>
      </c>
      <c r="Q51" s="56" t="s">
        <v>31</v>
      </c>
    </row>
    <row r="52" spans="1:17" ht="21" customHeight="1">
      <c r="A52" s="57">
        <v>2023</v>
      </c>
      <c r="B52" s="18">
        <v>0.78</v>
      </c>
      <c r="C52" s="18">
        <v>0.7</v>
      </c>
      <c r="D52" s="18">
        <v>0.85</v>
      </c>
      <c r="E52" s="18">
        <v>0.88</v>
      </c>
      <c r="F52" s="18">
        <v>0.9</v>
      </c>
      <c r="G52" s="18">
        <v>0.9</v>
      </c>
      <c r="H52" s="18">
        <v>0.86</v>
      </c>
      <c r="I52" s="18">
        <v>0.86</v>
      </c>
      <c r="J52" s="18">
        <v>0.89</v>
      </c>
      <c r="K52" s="18">
        <v>0.88</v>
      </c>
      <c r="L52" s="18">
        <v>0.91</v>
      </c>
      <c r="M52" s="18">
        <v>0.82</v>
      </c>
      <c r="N52" s="58">
        <f t="shared" ref="N52:N53" si="3">AVERAGE(B52:D52)</f>
        <v>0.77666666666666673</v>
      </c>
      <c r="O52" s="58">
        <f t="shared" ref="O52:O53" si="4">AVERAGE(E52:G52)</f>
        <v>0.89333333333333342</v>
      </c>
      <c r="P52" s="58">
        <f t="shared" ref="P52:P53" si="5">AVERAGE(H52:J52)</f>
        <v>0.87</v>
      </c>
      <c r="Q52" s="58">
        <f t="shared" ref="Q52:Q53" si="6">AVERAGE(K52:M52)</f>
        <v>0.87</v>
      </c>
    </row>
    <row r="53" spans="1:17" ht="21" customHeight="1">
      <c r="A53" s="59">
        <v>2024</v>
      </c>
      <c r="B53" s="18">
        <v>0.83333333333333337</v>
      </c>
      <c r="C53" s="18">
        <v>0.8</v>
      </c>
      <c r="D53" s="18">
        <v>0.8125</v>
      </c>
      <c r="E53" s="18">
        <v>0.88888888888888884</v>
      </c>
      <c r="F53" s="18">
        <v>0.80882352941176472</v>
      </c>
      <c r="G53" s="18">
        <v>0.79365079365079361</v>
      </c>
      <c r="H53" s="18">
        <v>0.83333333333333337</v>
      </c>
      <c r="I53" s="18">
        <v>0.8</v>
      </c>
      <c r="J53" s="18">
        <v>0.84615384615384615</v>
      </c>
      <c r="K53" s="18">
        <v>0.81818181818181823</v>
      </c>
      <c r="L53" s="18">
        <v>0.87096774193548387</v>
      </c>
      <c r="M53" s="18">
        <v>0.88461538461538458</v>
      </c>
      <c r="N53" s="58">
        <f t="shared" si="3"/>
        <v>0.81527777777777777</v>
      </c>
      <c r="O53" s="58">
        <f t="shared" si="4"/>
        <v>0.83045440398381576</v>
      </c>
      <c r="P53" s="58">
        <f t="shared" si="5"/>
        <v>0.82649572649572656</v>
      </c>
      <c r="Q53" s="58">
        <f t="shared" si="6"/>
        <v>0.85792164824422878</v>
      </c>
    </row>
    <row r="54" spans="1:17" ht="21" customHeight="1">
      <c r="A54" s="59">
        <v>2025</v>
      </c>
      <c r="B54" s="18">
        <v>0.84</v>
      </c>
      <c r="C54" s="18">
        <v>0.83</v>
      </c>
      <c r="D54" s="18">
        <v>0.8</v>
      </c>
      <c r="E54" s="18">
        <v>0.82</v>
      </c>
      <c r="F54" s="18">
        <v>0.83</v>
      </c>
      <c r="G54" s="18">
        <v>0.75</v>
      </c>
      <c r="H54" s="18">
        <v>0.82</v>
      </c>
      <c r="I54" s="18">
        <v>0.8</v>
      </c>
      <c r="J54" s="18">
        <v>0.83</v>
      </c>
      <c r="K54" s="18">
        <v>0.82</v>
      </c>
      <c r="L54" s="18">
        <v>0.8</v>
      </c>
      <c r="M54" s="18">
        <v>0.8</v>
      </c>
      <c r="N54" s="58"/>
      <c r="O54" s="58"/>
      <c r="P54" s="58"/>
      <c r="Q54" s="58"/>
    </row>
    <row r="55" spans="1:17" ht="21" customHeight="1">
      <c r="A55" s="59">
        <v>2026</v>
      </c>
      <c r="B55" s="18">
        <f>B19</f>
        <v>0.83333333333333337</v>
      </c>
      <c r="C55" s="18" t="e">
        <f t="shared" ref="C55:M55" si="7">C20</f>
        <v>#REF!</v>
      </c>
      <c r="D55" s="18" t="e">
        <f t="shared" si="7"/>
        <v>#REF!</v>
      </c>
      <c r="E55" s="18" t="str">
        <f t="shared" si="7"/>
        <v>#REF!</v>
      </c>
      <c r="F55" s="18" t="e">
        <f t="shared" si="7"/>
        <v>#REF!</v>
      </c>
      <c r="G55" s="18" t="e">
        <f t="shared" si="7"/>
        <v>#REF!</v>
      </c>
      <c r="H55" s="18" t="e">
        <f t="shared" si="7"/>
        <v>#REF!</v>
      </c>
      <c r="I55" s="18" t="e">
        <f t="shared" si="7"/>
        <v>#REF!</v>
      </c>
      <c r="J55" s="18" t="e">
        <f t="shared" si="7"/>
        <v>#REF!</v>
      </c>
      <c r="K55" s="18" t="e">
        <f t="shared" si="7"/>
        <v>#REF!</v>
      </c>
      <c r="L55" s="18" t="e">
        <f t="shared" si="7"/>
        <v>#REF!</v>
      </c>
      <c r="M55" s="18" t="e">
        <f t="shared" si="7"/>
        <v>#REF!</v>
      </c>
      <c r="N55" s="58" t="e">
        <f>AVERAGE(B55:D55)</f>
        <v>#REF!</v>
      </c>
      <c r="O55" s="58" t="e">
        <f>AVERAGE(E55:G55)</f>
        <v>#REF!</v>
      </c>
      <c r="P55" s="58" t="e">
        <f>AVERAGE(H55:J55)</f>
        <v>#REF!</v>
      </c>
      <c r="Q55" s="58" t="e">
        <f>AVERAGE(K55:M55)</f>
        <v>#REF!</v>
      </c>
    </row>
    <row r="56" spans="1:17" ht="21" customHeight="1">
      <c r="A56" s="60" t="s">
        <v>15</v>
      </c>
      <c r="B56" s="58">
        <v>0.9</v>
      </c>
      <c r="C56" s="58">
        <v>0.9</v>
      </c>
      <c r="D56" s="58">
        <v>0.9</v>
      </c>
      <c r="E56" s="58">
        <v>0.9</v>
      </c>
      <c r="F56" s="58">
        <v>0.9</v>
      </c>
      <c r="G56" s="58">
        <v>0.9</v>
      </c>
      <c r="H56" s="58">
        <v>0.9</v>
      </c>
      <c r="I56" s="58">
        <v>0.9</v>
      </c>
      <c r="J56" s="58">
        <v>0.9</v>
      </c>
      <c r="K56" s="58">
        <v>0.9</v>
      </c>
      <c r="L56" s="58">
        <v>0.9</v>
      </c>
      <c r="M56" s="58">
        <v>0.9</v>
      </c>
      <c r="N56" s="61"/>
    </row>
    <row r="57" spans="1:17" ht="15.75" customHeight="1">
      <c r="A57" s="7"/>
    </row>
    <row r="58" spans="1:17" ht="15.75" customHeight="1">
      <c r="A58" s="7"/>
    </row>
    <row r="59" spans="1:17" ht="15.75" customHeight="1">
      <c r="A59" s="7"/>
    </row>
    <row r="60" spans="1:17" ht="15.75" customHeight="1">
      <c r="A60" s="7"/>
    </row>
    <row r="61" spans="1:17" ht="15.75" customHeight="1">
      <c r="A61" s="7"/>
    </row>
    <row r="62" spans="1:17" ht="15.75" customHeight="1">
      <c r="A62" s="7"/>
    </row>
    <row r="63" spans="1:17" ht="15.75" customHeight="1">
      <c r="A63" s="7"/>
    </row>
    <row r="64" spans="1:17" ht="15.75" customHeight="1">
      <c r="A64" s="7"/>
    </row>
    <row r="65" spans="1:13" ht="15.75" customHeight="1">
      <c r="A65" s="7"/>
    </row>
    <row r="66" spans="1:13" ht="15.75" customHeight="1">
      <c r="A66" s="7"/>
    </row>
    <row r="67" spans="1:13" ht="15.75" customHeight="1">
      <c r="A67" s="7"/>
    </row>
    <row r="68" spans="1:13" ht="15.75" customHeight="1">
      <c r="A68" s="7"/>
    </row>
    <row r="69" spans="1:13" ht="15.75" customHeight="1">
      <c r="A69" s="7"/>
    </row>
    <row r="70" spans="1:13" ht="15.75" customHeight="1">
      <c r="A70" s="7"/>
    </row>
    <row r="71" spans="1:13" ht="15.75" customHeight="1">
      <c r="A71" s="7"/>
    </row>
    <row r="72" spans="1:13" ht="15.75" customHeight="1">
      <c r="A72" s="7"/>
    </row>
    <row r="73" spans="1:13" ht="15.75" customHeight="1">
      <c r="A73" s="7"/>
    </row>
    <row r="74" spans="1:13" ht="26.25" customHeight="1">
      <c r="A74" s="150" t="s">
        <v>42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9"/>
    </row>
    <row r="75" spans="1:13" ht="15.75" customHeight="1">
      <c r="A75" s="51" t="s">
        <v>43</v>
      </c>
      <c r="B75" s="45" t="s">
        <v>2</v>
      </c>
      <c r="C75" s="45" t="s">
        <v>3</v>
      </c>
      <c r="D75" s="45" t="s">
        <v>4</v>
      </c>
      <c r="E75" s="45" t="s">
        <v>5</v>
      </c>
      <c r="F75" s="45" t="s">
        <v>6</v>
      </c>
      <c r="G75" s="45" t="s">
        <v>7</v>
      </c>
      <c r="H75" s="45" t="s">
        <v>8</v>
      </c>
      <c r="I75" s="45" t="s">
        <v>9</v>
      </c>
      <c r="J75" s="45" t="s">
        <v>10</v>
      </c>
      <c r="K75" s="46" t="s">
        <v>11</v>
      </c>
      <c r="L75" s="46" t="s">
        <v>12</v>
      </c>
      <c r="M75" s="46" t="s">
        <v>13</v>
      </c>
    </row>
    <row r="76" spans="1:13" ht="18.75" customHeight="1">
      <c r="A76" s="62" t="s">
        <v>44</v>
      </c>
      <c r="B76" s="18" t="s">
        <v>142</v>
      </c>
      <c r="C76" s="18" t="s">
        <v>142</v>
      </c>
      <c r="D76" s="18" t="s">
        <v>142</v>
      </c>
      <c r="E76" s="18" t="s">
        <v>142</v>
      </c>
      <c r="F76" s="18" t="s">
        <v>142</v>
      </c>
      <c r="G76" s="18" t="s">
        <v>142</v>
      </c>
      <c r="H76" s="18" t="e">
        <f>'[1]JUL 2026'!D16</f>
        <v>#REF!</v>
      </c>
      <c r="I76" s="18" t="s">
        <v>142</v>
      </c>
      <c r="J76" s="18" t="s">
        <v>142</v>
      </c>
      <c r="K76" s="18" t="s">
        <v>142</v>
      </c>
      <c r="L76" s="18" t="s">
        <v>142</v>
      </c>
      <c r="M76" s="18" t="s">
        <v>142</v>
      </c>
    </row>
    <row r="77" spans="1:13" ht="18.75" customHeight="1">
      <c r="A77" s="62" t="s">
        <v>45</v>
      </c>
      <c r="B77" s="18" t="s">
        <v>142</v>
      </c>
      <c r="C77" s="18" t="s">
        <v>142</v>
      </c>
      <c r="D77" s="18" t="s">
        <v>142</v>
      </c>
      <c r="E77" s="18" t="s">
        <v>142</v>
      </c>
      <c r="F77" s="18" t="s">
        <v>142</v>
      </c>
      <c r="G77" s="18" t="s">
        <v>142</v>
      </c>
      <c r="H77" s="18" t="e">
        <f>'[1]JUL 2026'!D13</f>
        <v>#REF!</v>
      </c>
      <c r="I77" s="18" t="s">
        <v>142</v>
      </c>
      <c r="J77" s="18" t="s">
        <v>142</v>
      </c>
      <c r="K77" s="18" t="s">
        <v>142</v>
      </c>
      <c r="L77" s="18" t="s">
        <v>142</v>
      </c>
      <c r="M77" s="18" t="s">
        <v>142</v>
      </c>
    </row>
    <row r="78" spans="1:13" ht="18.75" customHeight="1">
      <c r="A78" s="62" t="s">
        <v>46</v>
      </c>
      <c r="B78" s="18" t="s">
        <v>142</v>
      </c>
      <c r="C78" s="18" t="s">
        <v>142</v>
      </c>
      <c r="D78" s="18" t="s">
        <v>142</v>
      </c>
      <c r="E78" s="18" t="s">
        <v>142</v>
      </c>
      <c r="F78" s="18" t="s">
        <v>142</v>
      </c>
      <c r="G78" s="18" t="s">
        <v>142</v>
      </c>
      <c r="H78" s="18" t="s">
        <v>142</v>
      </c>
      <c r="I78" s="18" t="s">
        <v>142</v>
      </c>
      <c r="J78" s="18" t="s">
        <v>142</v>
      </c>
      <c r="K78" s="18" t="s">
        <v>142</v>
      </c>
      <c r="L78" s="18" t="s">
        <v>142</v>
      </c>
      <c r="M78" s="18" t="s">
        <v>142</v>
      </c>
    </row>
    <row r="79" spans="1:13" ht="18.75" customHeight="1">
      <c r="A79" s="62" t="s">
        <v>47</v>
      </c>
      <c r="B79" s="18" t="s">
        <v>142</v>
      </c>
      <c r="C79" s="18" t="s">
        <v>142</v>
      </c>
      <c r="D79" s="18" t="s">
        <v>142</v>
      </c>
      <c r="E79" s="18" t="s">
        <v>142</v>
      </c>
      <c r="F79" s="18" t="s">
        <v>142</v>
      </c>
      <c r="G79" s="18" t="s">
        <v>142</v>
      </c>
      <c r="H79" s="18" t="s">
        <v>142</v>
      </c>
      <c r="I79" s="18" t="s">
        <v>142</v>
      </c>
      <c r="J79" s="18" t="s">
        <v>142</v>
      </c>
      <c r="K79" s="18" t="s">
        <v>142</v>
      </c>
      <c r="L79" s="18" t="s">
        <v>142</v>
      </c>
      <c r="M79" s="18" t="s">
        <v>142</v>
      </c>
    </row>
    <row r="80" spans="1:13" ht="15.75" customHeight="1">
      <c r="A80" s="21" t="s">
        <v>15</v>
      </c>
      <c r="B80" s="58">
        <v>0.9</v>
      </c>
      <c r="C80" s="58">
        <v>0.9</v>
      </c>
      <c r="D80" s="58">
        <v>0.9</v>
      </c>
      <c r="E80" s="58">
        <v>0.9</v>
      </c>
      <c r="F80" s="58">
        <v>0.9</v>
      </c>
      <c r="G80" s="58">
        <v>0.9</v>
      </c>
      <c r="H80" s="58">
        <v>0.9</v>
      </c>
      <c r="I80" s="58">
        <v>0.9</v>
      </c>
      <c r="J80" s="58">
        <v>0.9</v>
      </c>
      <c r="K80" s="58">
        <v>0.9</v>
      </c>
      <c r="L80" s="58">
        <v>0.9</v>
      </c>
      <c r="M80" s="58">
        <v>0.9</v>
      </c>
    </row>
    <row r="81" spans="1:13" ht="15.75" customHeight="1">
      <c r="A81" s="7"/>
      <c r="B81" s="54"/>
      <c r="C81" s="54"/>
      <c r="D81" s="54"/>
      <c r="E81" s="54"/>
      <c r="F81" s="54"/>
      <c r="G81" s="54"/>
      <c r="H81" s="54"/>
      <c r="I81" s="54"/>
      <c r="J81" s="54"/>
      <c r="K81" s="63"/>
      <c r="L81" s="63"/>
      <c r="M81" s="63"/>
    </row>
    <row r="82" spans="1:13" ht="15.75" customHeight="1">
      <c r="A82" s="7"/>
      <c r="B82" s="54"/>
      <c r="C82" s="54"/>
      <c r="D82" s="54"/>
      <c r="E82" s="54"/>
      <c r="F82" s="54"/>
      <c r="G82" s="54"/>
      <c r="H82" s="54"/>
      <c r="I82" s="54"/>
      <c r="J82" s="64" t="s">
        <v>48</v>
      </c>
      <c r="K82" s="63"/>
      <c r="L82" s="63"/>
      <c r="M82" s="63"/>
    </row>
    <row r="83" spans="1:13" ht="15.75" customHeight="1">
      <c r="A83" s="7"/>
    </row>
    <row r="84" spans="1:13" ht="15.75" customHeight="1">
      <c r="A84" s="7"/>
    </row>
    <row r="85" spans="1:13" ht="15.75" customHeight="1">
      <c r="A85" s="7"/>
    </row>
    <row r="86" spans="1:13" ht="15.75" customHeight="1">
      <c r="A86" s="7"/>
    </row>
    <row r="87" spans="1:13" ht="15.75" customHeight="1">
      <c r="A87" s="7"/>
    </row>
    <row r="88" spans="1:13" ht="15.75" customHeight="1">
      <c r="A88" s="7"/>
    </row>
    <row r="89" spans="1:13" ht="15.75" customHeight="1">
      <c r="A89" s="7"/>
    </row>
    <row r="90" spans="1:13" ht="15.75" customHeight="1">
      <c r="A90" s="7"/>
    </row>
    <row r="91" spans="1:13" ht="15.75" customHeight="1">
      <c r="A91" s="7"/>
    </row>
    <row r="92" spans="1:13" ht="26.25" customHeight="1">
      <c r="A92" s="144" t="s">
        <v>49</v>
      </c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6"/>
    </row>
    <row r="93" spans="1:13" ht="15.75" customHeight="1">
      <c r="A93" s="51" t="s">
        <v>37</v>
      </c>
      <c r="B93" s="45" t="s">
        <v>2</v>
      </c>
      <c r="C93" s="52" t="s">
        <v>3</v>
      </c>
      <c r="D93" s="45" t="s">
        <v>4</v>
      </c>
      <c r="E93" s="45" t="s">
        <v>5</v>
      </c>
      <c r="F93" s="45" t="s">
        <v>6</v>
      </c>
      <c r="G93" s="45" t="s">
        <v>7</v>
      </c>
      <c r="H93" s="45" t="s">
        <v>8</v>
      </c>
      <c r="I93" s="45" t="s">
        <v>9</v>
      </c>
      <c r="J93" s="45" t="s">
        <v>10</v>
      </c>
      <c r="K93" s="46" t="s">
        <v>11</v>
      </c>
      <c r="L93" s="46" t="s">
        <v>12</v>
      </c>
      <c r="M93" s="46" t="s">
        <v>13</v>
      </c>
    </row>
    <row r="94" spans="1:13" ht="18.75" customHeight="1">
      <c r="A94" s="53" t="s">
        <v>38</v>
      </c>
      <c r="B94" s="18" t="s">
        <v>142</v>
      </c>
      <c r="C94" s="18" t="s">
        <v>142</v>
      </c>
      <c r="D94" s="18" t="s">
        <v>142</v>
      </c>
      <c r="E94" s="18" t="s">
        <v>142</v>
      </c>
      <c r="F94" s="18" t="s">
        <v>142</v>
      </c>
      <c r="G94" s="18" t="s">
        <v>142</v>
      </c>
      <c r="H94" s="18" t="s">
        <v>142</v>
      </c>
      <c r="I94" s="18" t="s">
        <v>142</v>
      </c>
      <c r="J94" s="18" t="s">
        <v>142</v>
      </c>
      <c r="K94" s="18" t="s">
        <v>142</v>
      </c>
      <c r="L94" s="18" t="s">
        <v>142</v>
      </c>
      <c r="M94" s="18" t="s">
        <v>142</v>
      </c>
    </row>
    <row r="95" spans="1:13" ht="18.75" customHeight="1">
      <c r="A95" s="53" t="s">
        <v>50</v>
      </c>
      <c r="B95" s="18" t="s">
        <v>142</v>
      </c>
      <c r="C95" s="18" t="s">
        <v>142</v>
      </c>
      <c r="D95" s="18" t="s">
        <v>142</v>
      </c>
      <c r="E95" s="18" t="s">
        <v>142</v>
      </c>
      <c r="F95" s="18" t="s">
        <v>142</v>
      </c>
      <c r="G95" s="18" t="s">
        <v>142</v>
      </c>
      <c r="H95" s="18" t="s">
        <v>142</v>
      </c>
      <c r="I95" s="18" t="s">
        <v>142</v>
      </c>
      <c r="J95" s="18" t="s">
        <v>142</v>
      </c>
      <c r="K95" s="18" t="s">
        <v>142</v>
      </c>
      <c r="L95" s="18" t="s">
        <v>142</v>
      </c>
      <c r="M95" s="18" t="s">
        <v>142</v>
      </c>
    </row>
    <row r="96" spans="1:13" ht="18.75" customHeight="1">
      <c r="A96" s="53" t="s">
        <v>51</v>
      </c>
      <c r="B96" s="18" t="s">
        <v>142</v>
      </c>
      <c r="C96" s="18" t="s">
        <v>142</v>
      </c>
      <c r="D96" s="18" t="s">
        <v>142</v>
      </c>
      <c r="E96" s="18" t="s">
        <v>142</v>
      </c>
      <c r="F96" s="18" t="s">
        <v>142</v>
      </c>
      <c r="G96" s="18" t="s">
        <v>142</v>
      </c>
      <c r="H96" s="18" t="s">
        <v>142</v>
      </c>
      <c r="I96" s="18" t="s">
        <v>142</v>
      </c>
      <c r="J96" s="18" t="s">
        <v>142</v>
      </c>
      <c r="K96" s="18" t="s">
        <v>142</v>
      </c>
      <c r="L96" s="18" t="s">
        <v>142</v>
      </c>
      <c r="M96" s="18" t="s">
        <v>142</v>
      </c>
    </row>
    <row r="97" spans="1:17" ht="18.75" customHeight="1">
      <c r="A97" s="53" t="s">
        <v>40</v>
      </c>
      <c r="B97" s="18" t="s">
        <v>142</v>
      </c>
      <c r="C97" s="18" t="s">
        <v>142</v>
      </c>
      <c r="D97" s="18" t="s">
        <v>142</v>
      </c>
      <c r="E97" s="18" t="s">
        <v>142</v>
      </c>
      <c r="F97" s="18" t="s">
        <v>142</v>
      </c>
      <c r="G97" s="18" t="s">
        <v>142</v>
      </c>
      <c r="H97" s="18" t="s">
        <v>142</v>
      </c>
      <c r="I97" s="18" t="s">
        <v>142</v>
      </c>
      <c r="J97" s="18" t="s">
        <v>142</v>
      </c>
      <c r="K97" s="18" t="s">
        <v>142</v>
      </c>
      <c r="L97" s="18" t="s">
        <v>142</v>
      </c>
      <c r="M97" s="18" t="s">
        <v>142</v>
      </c>
    </row>
    <row r="98" spans="1:17" ht="15.75" customHeight="1">
      <c r="A98" s="21" t="s">
        <v>15</v>
      </c>
      <c r="B98" s="58">
        <v>0.9</v>
      </c>
      <c r="C98" s="58">
        <v>0.9</v>
      </c>
      <c r="D98" s="58">
        <v>0.9</v>
      </c>
      <c r="E98" s="58">
        <v>0.9</v>
      </c>
      <c r="F98" s="58">
        <v>0.9</v>
      </c>
      <c r="G98" s="58">
        <v>0.9</v>
      </c>
      <c r="H98" s="58">
        <v>0.9</v>
      </c>
      <c r="I98" s="58">
        <v>0.9</v>
      </c>
      <c r="J98" s="58">
        <v>0.9</v>
      </c>
      <c r="K98" s="58">
        <v>0.9</v>
      </c>
      <c r="L98" s="58">
        <v>0.9</v>
      </c>
      <c r="M98" s="58">
        <v>0.9</v>
      </c>
    </row>
    <row r="99" spans="1:17" ht="15.75" customHeight="1">
      <c r="A99" s="7"/>
    </row>
    <row r="100" spans="1:17" ht="15.75" customHeight="1">
      <c r="A100" s="7"/>
      <c r="B100" s="65"/>
    </row>
    <row r="101" spans="1:17" ht="15.75" customHeight="1">
      <c r="A101" s="7"/>
    </row>
    <row r="102" spans="1:17" ht="15.75" customHeight="1">
      <c r="A102" s="7"/>
    </row>
    <row r="103" spans="1:17" ht="15.75" customHeight="1">
      <c r="A103" s="7"/>
    </row>
    <row r="104" spans="1:17" ht="15.75" customHeight="1">
      <c r="A104" s="7"/>
    </row>
    <row r="105" spans="1:17" ht="51" customHeight="1">
      <c r="A105" s="147" t="s">
        <v>52</v>
      </c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6"/>
      <c r="N105" s="54"/>
      <c r="O105" s="54"/>
      <c r="P105" s="54"/>
      <c r="Q105" s="54"/>
    </row>
    <row r="106" spans="1:17" ht="23.25" customHeight="1">
      <c r="A106" s="55" t="s">
        <v>34</v>
      </c>
      <c r="B106" s="56" t="s">
        <v>2</v>
      </c>
      <c r="C106" s="56" t="s">
        <v>3</v>
      </c>
      <c r="D106" s="56" t="s">
        <v>4</v>
      </c>
      <c r="E106" s="56" t="s">
        <v>5</v>
      </c>
      <c r="F106" s="56" t="s">
        <v>6</v>
      </c>
      <c r="G106" s="56" t="s">
        <v>7</v>
      </c>
      <c r="H106" s="56" t="s">
        <v>8</v>
      </c>
      <c r="I106" s="56" t="s">
        <v>9</v>
      </c>
      <c r="J106" s="56" t="s">
        <v>10</v>
      </c>
      <c r="K106" s="56" t="s">
        <v>11</v>
      </c>
      <c r="L106" s="56" t="s">
        <v>12</v>
      </c>
      <c r="M106" s="56" t="s">
        <v>13</v>
      </c>
      <c r="N106" s="56" t="s">
        <v>28</v>
      </c>
      <c r="O106" s="56" t="s">
        <v>29</v>
      </c>
      <c r="P106" s="56" t="s">
        <v>30</v>
      </c>
      <c r="Q106" s="56" t="s">
        <v>31</v>
      </c>
    </row>
    <row r="107" spans="1:17" ht="23.25" customHeight="1">
      <c r="A107" s="57">
        <v>2023</v>
      </c>
      <c r="B107" s="18">
        <v>0.8571428571428571</v>
      </c>
      <c r="C107" s="18">
        <v>0.8</v>
      </c>
      <c r="D107" s="18">
        <v>0.83</v>
      </c>
      <c r="E107" s="18">
        <v>0.88</v>
      </c>
      <c r="F107" s="18">
        <v>0.9</v>
      </c>
      <c r="G107" s="18">
        <v>0.92</v>
      </c>
      <c r="H107" s="18">
        <v>0.88</v>
      </c>
      <c r="I107" s="18">
        <v>0.88</v>
      </c>
      <c r="J107" s="18">
        <v>0.91</v>
      </c>
      <c r="K107" s="18">
        <v>0.9</v>
      </c>
      <c r="L107" s="18">
        <v>0.89</v>
      </c>
      <c r="M107" s="18">
        <v>0.82</v>
      </c>
      <c r="N107" s="58">
        <f t="shared" ref="N107:N109" si="8">AVERAGE(B107:D107)</f>
        <v>0.82904761904761903</v>
      </c>
      <c r="O107" s="58">
        <f t="shared" ref="O107:O109" si="9">AVERAGE(E107:G107)</f>
        <v>0.9</v>
      </c>
      <c r="P107" s="58">
        <f t="shared" ref="P107:P109" si="10">AVERAGE(H107:J107)</f>
        <v>0.89</v>
      </c>
      <c r="Q107" s="58">
        <f>AVERAGE(K107:M107)</f>
        <v>0.87</v>
      </c>
    </row>
    <row r="108" spans="1:17" ht="23.25" customHeight="1">
      <c r="A108" s="57">
        <v>2024</v>
      </c>
      <c r="B108" s="18">
        <v>0.8</v>
      </c>
      <c r="C108" s="18">
        <v>0.8</v>
      </c>
      <c r="D108" s="18">
        <v>0.8</v>
      </c>
      <c r="E108" s="18">
        <v>0.875</v>
      </c>
      <c r="F108" s="18">
        <v>0.875</v>
      </c>
      <c r="G108" s="18">
        <v>0.83333333333333337</v>
      </c>
      <c r="H108" s="18">
        <v>0.83333333333333337</v>
      </c>
      <c r="I108" s="18">
        <v>0.8666666666666667</v>
      </c>
      <c r="J108" s="18">
        <v>0.85</v>
      </c>
      <c r="K108" s="18">
        <v>0.83333333333333337</v>
      </c>
      <c r="L108" s="18">
        <v>0.88888888888888884</v>
      </c>
      <c r="M108" s="18">
        <v>0.8</v>
      </c>
      <c r="N108" s="58">
        <f t="shared" si="8"/>
        <v>0.80000000000000016</v>
      </c>
      <c r="O108" s="58">
        <f t="shared" si="9"/>
        <v>0.86111111111111116</v>
      </c>
      <c r="P108" s="58">
        <f t="shared" si="10"/>
        <v>0.85000000000000009</v>
      </c>
      <c r="Q108" s="58"/>
    </row>
    <row r="109" spans="1:17" ht="23.25" customHeight="1">
      <c r="A109" s="66">
        <v>2025</v>
      </c>
      <c r="B109" s="18">
        <f t="shared" ref="B109:M109" si="11">B20</f>
        <v>0.88888888888888884</v>
      </c>
      <c r="C109" s="18" t="e">
        <f t="shared" si="11"/>
        <v>#REF!</v>
      </c>
      <c r="D109" s="18" t="e">
        <f t="shared" si="11"/>
        <v>#REF!</v>
      </c>
      <c r="E109" s="18" t="str">
        <f t="shared" si="11"/>
        <v>#REF!</v>
      </c>
      <c r="F109" s="18" t="e">
        <f t="shared" si="11"/>
        <v>#REF!</v>
      </c>
      <c r="G109" s="18" t="e">
        <f t="shared" si="11"/>
        <v>#REF!</v>
      </c>
      <c r="H109" s="18" t="e">
        <f t="shared" si="11"/>
        <v>#REF!</v>
      </c>
      <c r="I109" s="18" t="e">
        <f t="shared" si="11"/>
        <v>#REF!</v>
      </c>
      <c r="J109" s="18" t="e">
        <f t="shared" si="11"/>
        <v>#REF!</v>
      </c>
      <c r="K109" s="18" t="e">
        <f t="shared" si="11"/>
        <v>#REF!</v>
      </c>
      <c r="L109" s="18" t="e">
        <f t="shared" si="11"/>
        <v>#REF!</v>
      </c>
      <c r="M109" s="18" t="e">
        <f t="shared" si="11"/>
        <v>#REF!</v>
      </c>
      <c r="N109" s="58" t="e">
        <f t="shared" si="8"/>
        <v>#REF!</v>
      </c>
      <c r="O109" s="58" t="e">
        <f t="shared" si="9"/>
        <v>#REF!</v>
      </c>
      <c r="P109" s="58" t="e">
        <f t="shared" si="10"/>
        <v>#REF!</v>
      </c>
      <c r="Q109" s="58" t="e">
        <f>AVERAGE(K109:M109)</f>
        <v>#REF!</v>
      </c>
    </row>
    <row r="110" spans="1:17" ht="23.25" customHeight="1">
      <c r="A110" s="60" t="s">
        <v>15</v>
      </c>
      <c r="B110" s="58">
        <v>0.9</v>
      </c>
      <c r="C110" s="58">
        <v>0.9</v>
      </c>
      <c r="D110" s="58">
        <v>0.9</v>
      </c>
      <c r="E110" s="58">
        <v>0.9</v>
      </c>
      <c r="F110" s="58">
        <v>0.9</v>
      </c>
      <c r="G110" s="58">
        <v>0.9</v>
      </c>
      <c r="H110" s="58">
        <v>0.9</v>
      </c>
      <c r="I110" s="58">
        <v>0.9</v>
      </c>
      <c r="J110" s="58">
        <v>0.9</v>
      </c>
      <c r="K110" s="58">
        <v>0.9</v>
      </c>
      <c r="L110" s="58">
        <v>0.9</v>
      </c>
      <c r="M110" s="58">
        <v>0.9</v>
      </c>
    </row>
    <row r="111" spans="1:17" ht="15.75" customHeight="1">
      <c r="A111" s="7"/>
    </row>
    <row r="112" spans="1:17" ht="15.75" customHeight="1">
      <c r="A112" s="7"/>
    </row>
    <row r="113" spans="1:1" ht="15.75" customHeight="1">
      <c r="A113" s="7"/>
    </row>
    <row r="114" spans="1:1" ht="15.75" customHeight="1">
      <c r="A114" s="7"/>
    </row>
    <row r="115" spans="1:1" ht="15.75" customHeight="1">
      <c r="A115" s="7"/>
    </row>
    <row r="116" spans="1:1" ht="15.75" customHeight="1">
      <c r="A116" s="7"/>
    </row>
    <row r="117" spans="1:1" ht="15.75" customHeight="1">
      <c r="A117" s="7"/>
    </row>
    <row r="118" spans="1:1" ht="15.75" customHeight="1">
      <c r="A118" s="7"/>
    </row>
    <row r="119" spans="1:1" ht="15.75" customHeight="1">
      <c r="A119" s="7"/>
    </row>
    <row r="120" spans="1:1" ht="15.75" customHeight="1">
      <c r="A120" s="7"/>
    </row>
    <row r="121" spans="1:1" ht="15.75" customHeight="1">
      <c r="A121" s="7"/>
    </row>
    <row r="122" spans="1:1" ht="15.75" customHeight="1">
      <c r="A122" s="7"/>
    </row>
    <row r="123" spans="1:1" ht="15.75" customHeight="1">
      <c r="A123" s="7"/>
    </row>
    <row r="124" spans="1:1" ht="15.75" customHeight="1">
      <c r="A124" s="7"/>
    </row>
    <row r="125" spans="1:1" ht="15.75" customHeight="1">
      <c r="A125" s="7"/>
    </row>
    <row r="126" spans="1:1" ht="15.75" customHeight="1">
      <c r="A126" s="7"/>
    </row>
    <row r="127" spans="1:1" ht="15.75" customHeight="1">
      <c r="A127" s="7"/>
    </row>
    <row r="128" spans="1:1" ht="15.75" customHeight="1">
      <c r="A128" s="7"/>
    </row>
    <row r="129" spans="1:13" ht="15.75" customHeight="1">
      <c r="A129" s="7"/>
    </row>
    <row r="130" spans="1:13" ht="26.25" customHeight="1">
      <c r="A130" s="150" t="s">
        <v>53</v>
      </c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9"/>
    </row>
    <row r="131" spans="1:13" ht="15.75" customHeight="1">
      <c r="A131" s="51" t="s">
        <v>43</v>
      </c>
      <c r="B131" s="45" t="s">
        <v>2</v>
      </c>
      <c r="C131" s="45" t="s">
        <v>3</v>
      </c>
      <c r="D131" s="45" t="s">
        <v>4</v>
      </c>
      <c r="E131" s="45" t="s">
        <v>5</v>
      </c>
      <c r="F131" s="45" t="s">
        <v>6</v>
      </c>
      <c r="G131" s="45" t="s">
        <v>7</v>
      </c>
      <c r="H131" s="45" t="s">
        <v>8</v>
      </c>
      <c r="I131" s="45" t="s">
        <v>9</v>
      </c>
      <c r="J131" s="45" t="s">
        <v>10</v>
      </c>
      <c r="K131" s="46" t="s">
        <v>11</v>
      </c>
      <c r="L131" s="46" t="s">
        <v>12</v>
      </c>
      <c r="M131" s="46" t="s">
        <v>13</v>
      </c>
    </row>
    <row r="132" spans="1:13" ht="18.75" customHeight="1">
      <c r="A132" s="62" t="s">
        <v>44</v>
      </c>
      <c r="B132" s="18" t="s">
        <v>142</v>
      </c>
      <c r="C132" s="18" t="s">
        <v>142</v>
      </c>
      <c r="D132" s="18" t="s">
        <v>142</v>
      </c>
      <c r="E132" s="18" t="s">
        <v>142</v>
      </c>
      <c r="F132" s="18" t="s">
        <v>142</v>
      </c>
      <c r="G132" s="18" t="s">
        <v>142</v>
      </c>
      <c r="H132" s="18" t="s">
        <v>142</v>
      </c>
      <c r="I132" s="18" t="s">
        <v>142</v>
      </c>
      <c r="J132" s="18" t="s">
        <v>142</v>
      </c>
      <c r="K132" s="18" t="s">
        <v>142</v>
      </c>
      <c r="L132" s="18" t="s">
        <v>142</v>
      </c>
      <c r="M132" s="18" t="s">
        <v>142</v>
      </c>
    </row>
    <row r="133" spans="1:13" ht="18.75" customHeight="1">
      <c r="A133" s="62" t="s">
        <v>45</v>
      </c>
      <c r="B133" s="18" t="s">
        <v>142</v>
      </c>
      <c r="C133" s="18" t="s">
        <v>142</v>
      </c>
      <c r="D133" s="18" t="s">
        <v>142</v>
      </c>
      <c r="E133" s="18" t="s">
        <v>142</v>
      </c>
      <c r="F133" s="18" t="s">
        <v>142</v>
      </c>
      <c r="G133" s="18" t="s">
        <v>142</v>
      </c>
      <c r="H133" s="18" t="s">
        <v>142</v>
      </c>
      <c r="I133" s="18" t="s">
        <v>142</v>
      </c>
      <c r="J133" s="18" t="s">
        <v>142</v>
      </c>
      <c r="K133" s="18" t="s">
        <v>142</v>
      </c>
      <c r="L133" s="18" t="s">
        <v>142</v>
      </c>
      <c r="M133" s="18" t="s">
        <v>142</v>
      </c>
    </row>
    <row r="134" spans="1:13" ht="18.75" customHeight="1">
      <c r="A134" s="62" t="s">
        <v>46</v>
      </c>
      <c r="B134" s="18" t="s">
        <v>142</v>
      </c>
      <c r="C134" s="18" t="s">
        <v>142</v>
      </c>
      <c r="D134" s="18" t="s">
        <v>142</v>
      </c>
      <c r="E134" s="18" t="s">
        <v>142</v>
      </c>
      <c r="F134" s="18" t="s">
        <v>142</v>
      </c>
      <c r="G134" s="18" t="s">
        <v>142</v>
      </c>
      <c r="H134" s="18" t="s">
        <v>142</v>
      </c>
      <c r="I134" s="18" t="s">
        <v>142</v>
      </c>
      <c r="J134" s="18" t="s">
        <v>142</v>
      </c>
      <c r="K134" s="18" t="s">
        <v>142</v>
      </c>
      <c r="L134" s="18" t="s">
        <v>142</v>
      </c>
      <c r="M134" s="18" t="s">
        <v>142</v>
      </c>
    </row>
    <row r="135" spans="1:13" ht="18.75" customHeight="1">
      <c r="A135" s="62" t="s">
        <v>47</v>
      </c>
      <c r="B135" s="18" t="s">
        <v>142</v>
      </c>
      <c r="C135" s="18" t="s">
        <v>142</v>
      </c>
      <c r="D135" s="18" t="s">
        <v>142</v>
      </c>
      <c r="E135" s="18" t="s">
        <v>142</v>
      </c>
      <c r="F135" s="18" t="s">
        <v>142</v>
      </c>
      <c r="G135" s="18" t="s">
        <v>142</v>
      </c>
      <c r="H135" s="18" t="s">
        <v>142</v>
      </c>
      <c r="I135" s="18" t="s">
        <v>142</v>
      </c>
      <c r="J135" s="18" t="s">
        <v>142</v>
      </c>
      <c r="K135" s="18" t="s">
        <v>142</v>
      </c>
      <c r="L135" s="18" t="s">
        <v>142</v>
      </c>
      <c r="M135" s="18" t="s">
        <v>142</v>
      </c>
    </row>
    <row r="136" spans="1:13" ht="15.75" customHeight="1">
      <c r="A136" s="21" t="s">
        <v>15</v>
      </c>
      <c r="B136" s="58">
        <v>0.9</v>
      </c>
      <c r="C136" s="58">
        <v>0.9</v>
      </c>
      <c r="D136" s="58">
        <v>0.9</v>
      </c>
      <c r="E136" s="58">
        <v>0.9</v>
      </c>
      <c r="F136" s="58">
        <v>0.9</v>
      </c>
      <c r="G136" s="58">
        <v>0.9</v>
      </c>
      <c r="H136" s="58">
        <v>0.9</v>
      </c>
      <c r="I136" s="58">
        <v>0.9</v>
      </c>
      <c r="J136" s="58">
        <v>0.9</v>
      </c>
      <c r="K136" s="58">
        <v>0.9</v>
      </c>
      <c r="L136" s="58">
        <v>0.9</v>
      </c>
      <c r="M136" s="58">
        <v>0.9</v>
      </c>
    </row>
    <row r="137" spans="1:13" ht="15.75" customHeight="1">
      <c r="A137" s="7"/>
    </row>
    <row r="138" spans="1:13" ht="15.75" customHeight="1">
      <c r="A138" s="7"/>
    </row>
    <row r="139" spans="1:13" ht="15.75" customHeight="1">
      <c r="A139" s="7"/>
    </row>
    <row r="140" spans="1:13" ht="15.75" customHeight="1">
      <c r="A140" s="7"/>
    </row>
    <row r="141" spans="1:13" ht="15.75" customHeight="1">
      <c r="A141" s="7"/>
    </row>
    <row r="142" spans="1:13" ht="15.75" customHeight="1">
      <c r="A142" s="7"/>
    </row>
    <row r="143" spans="1:13" ht="26.25" customHeight="1">
      <c r="A143" s="144" t="s">
        <v>54</v>
      </c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6"/>
    </row>
    <row r="144" spans="1:13" ht="15.75" customHeight="1">
      <c r="A144" s="51" t="s">
        <v>37</v>
      </c>
      <c r="B144" s="45" t="s">
        <v>2</v>
      </c>
      <c r="C144" s="52" t="s">
        <v>3</v>
      </c>
      <c r="D144" s="45" t="s">
        <v>4</v>
      </c>
      <c r="E144" s="45" t="s">
        <v>5</v>
      </c>
      <c r="F144" s="45" t="s">
        <v>6</v>
      </c>
      <c r="G144" s="45" t="s">
        <v>7</v>
      </c>
      <c r="H144" s="45" t="s">
        <v>8</v>
      </c>
      <c r="I144" s="45" t="s">
        <v>9</v>
      </c>
      <c r="J144" s="45" t="s">
        <v>10</v>
      </c>
      <c r="K144" s="46" t="s">
        <v>11</v>
      </c>
      <c r="L144" s="46" t="s">
        <v>12</v>
      </c>
      <c r="M144" s="46" t="s">
        <v>13</v>
      </c>
    </row>
    <row r="145" spans="1:17" ht="18.75" customHeight="1">
      <c r="A145" s="53" t="s">
        <v>38</v>
      </c>
      <c r="B145" s="18" t="s">
        <v>142</v>
      </c>
      <c r="C145" s="18" t="s">
        <v>142</v>
      </c>
      <c r="D145" s="18" t="e">
        <f>'[1]MAR 2026'!D34</f>
        <v>#REF!</v>
      </c>
      <c r="E145" s="18" t="s">
        <v>142</v>
      </c>
      <c r="F145" s="18" t="s">
        <v>142</v>
      </c>
      <c r="G145" s="18" t="s">
        <v>142</v>
      </c>
      <c r="H145" s="18" t="s">
        <v>142</v>
      </c>
      <c r="I145" s="18" t="s">
        <v>142</v>
      </c>
      <c r="J145" s="18" t="s">
        <v>142</v>
      </c>
      <c r="K145" s="18" t="s">
        <v>142</v>
      </c>
      <c r="L145" s="18" t="s">
        <v>142</v>
      </c>
      <c r="M145" s="18" t="s">
        <v>142</v>
      </c>
    </row>
    <row r="146" spans="1:17" ht="18.75" customHeight="1">
      <c r="A146" s="53" t="s">
        <v>50</v>
      </c>
      <c r="B146" s="18" t="s">
        <v>142</v>
      </c>
      <c r="C146" s="18" t="s">
        <v>142</v>
      </c>
      <c r="D146" s="18" t="s">
        <v>142</v>
      </c>
      <c r="E146" s="18" t="s">
        <v>142</v>
      </c>
      <c r="F146" s="18" t="s">
        <v>142</v>
      </c>
      <c r="G146" s="18" t="s">
        <v>142</v>
      </c>
      <c r="H146" s="18" t="s">
        <v>142</v>
      </c>
      <c r="I146" s="18" t="s">
        <v>142</v>
      </c>
      <c r="J146" s="18" t="s">
        <v>142</v>
      </c>
      <c r="K146" s="18" t="s">
        <v>142</v>
      </c>
      <c r="L146" s="18" t="s">
        <v>142</v>
      </c>
      <c r="M146" s="18" t="s">
        <v>142</v>
      </c>
    </row>
    <row r="147" spans="1:17" ht="18.75" customHeight="1">
      <c r="A147" s="53" t="s">
        <v>55</v>
      </c>
      <c r="B147" s="18" t="s">
        <v>142</v>
      </c>
      <c r="C147" s="18" t="s">
        <v>142</v>
      </c>
      <c r="D147" s="18" t="s">
        <v>142</v>
      </c>
      <c r="E147" s="18" t="s">
        <v>142</v>
      </c>
      <c r="F147" s="18" t="s">
        <v>142</v>
      </c>
      <c r="G147" s="18" t="s">
        <v>142</v>
      </c>
      <c r="H147" s="18" t="s">
        <v>142</v>
      </c>
      <c r="I147" s="18" t="s">
        <v>142</v>
      </c>
      <c r="J147" s="18" t="s">
        <v>142</v>
      </c>
      <c r="K147" s="18" t="s">
        <v>142</v>
      </c>
      <c r="L147" s="18" t="s">
        <v>142</v>
      </c>
      <c r="M147" s="18" t="s">
        <v>142</v>
      </c>
    </row>
    <row r="148" spans="1:17" ht="18.75" customHeight="1">
      <c r="A148" s="53" t="s">
        <v>40</v>
      </c>
      <c r="B148" s="18" t="s">
        <v>142</v>
      </c>
      <c r="C148" s="18" t="s">
        <v>142</v>
      </c>
      <c r="D148" s="18" t="s">
        <v>142</v>
      </c>
      <c r="E148" s="18" t="s">
        <v>142</v>
      </c>
      <c r="F148" s="18" t="s">
        <v>142</v>
      </c>
      <c r="G148" s="18" t="s">
        <v>142</v>
      </c>
      <c r="H148" s="18" t="s">
        <v>142</v>
      </c>
      <c r="I148" s="18" t="s">
        <v>142</v>
      </c>
      <c r="J148" s="18" t="s">
        <v>142</v>
      </c>
      <c r="K148" s="18" t="s">
        <v>142</v>
      </c>
      <c r="L148" s="18" t="s">
        <v>142</v>
      </c>
      <c r="M148" s="18" t="s">
        <v>142</v>
      </c>
    </row>
    <row r="149" spans="1:17" ht="15.75" customHeight="1">
      <c r="A149" s="21" t="s">
        <v>15</v>
      </c>
      <c r="B149" s="58">
        <v>0.9</v>
      </c>
      <c r="C149" s="58">
        <v>0.9</v>
      </c>
      <c r="D149" s="58">
        <v>0.9</v>
      </c>
      <c r="E149" s="58">
        <v>0.9</v>
      </c>
      <c r="F149" s="58">
        <v>0.9</v>
      </c>
      <c r="G149" s="58">
        <v>0.9</v>
      </c>
      <c r="H149" s="58">
        <v>0.9</v>
      </c>
      <c r="I149" s="58">
        <v>0.9</v>
      </c>
      <c r="J149" s="58">
        <v>0.9</v>
      </c>
      <c r="K149" s="58">
        <v>0.9</v>
      </c>
      <c r="L149" s="58">
        <v>0.9</v>
      </c>
      <c r="M149" s="58">
        <v>0.9</v>
      </c>
    </row>
    <row r="150" spans="1:17" ht="15.75" customHeight="1">
      <c r="A150" s="7"/>
    </row>
    <row r="151" spans="1:17" ht="15.75" customHeight="1">
      <c r="A151" s="7"/>
    </row>
    <row r="152" spans="1:17" ht="15.75" customHeight="1">
      <c r="A152" s="7"/>
    </row>
    <row r="153" spans="1:17" ht="15.75" customHeight="1">
      <c r="A153" s="7"/>
    </row>
    <row r="154" spans="1:17" ht="15.75" customHeight="1">
      <c r="A154" s="7"/>
    </row>
    <row r="155" spans="1:17" ht="15.75" customHeight="1">
      <c r="A155" s="7"/>
    </row>
    <row r="156" spans="1:17" ht="15.75" customHeight="1">
      <c r="A156" s="7"/>
    </row>
    <row r="157" spans="1:17" ht="15.75" customHeight="1">
      <c r="A157" s="7"/>
    </row>
    <row r="158" spans="1:17" ht="15.75" customHeight="1">
      <c r="A158" s="7"/>
    </row>
    <row r="159" spans="1:17" ht="15.75" customHeight="1">
      <c r="A159" s="7"/>
    </row>
    <row r="160" spans="1:17" ht="39" customHeight="1">
      <c r="A160" s="147" t="s">
        <v>56</v>
      </c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6"/>
      <c r="N160" s="54"/>
      <c r="O160" s="54"/>
      <c r="P160" s="54"/>
      <c r="Q160" s="54"/>
    </row>
    <row r="161" spans="1:17" ht="15.75" customHeight="1">
      <c r="A161" s="55" t="s">
        <v>35</v>
      </c>
      <c r="B161" s="56" t="s">
        <v>2</v>
      </c>
      <c r="C161" s="56" t="s">
        <v>3</v>
      </c>
      <c r="D161" s="56" t="s">
        <v>4</v>
      </c>
      <c r="E161" s="56" t="s">
        <v>5</v>
      </c>
      <c r="F161" s="56" t="s">
        <v>6</v>
      </c>
      <c r="G161" s="56" t="s">
        <v>7</v>
      </c>
      <c r="H161" s="56" t="s">
        <v>8</v>
      </c>
      <c r="I161" s="56" t="s">
        <v>9</v>
      </c>
      <c r="J161" s="56" t="s">
        <v>10</v>
      </c>
      <c r="K161" s="56" t="s">
        <v>11</v>
      </c>
      <c r="L161" s="56" t="s">
        <v>12</v>
      </c>
      <c r="M161" s="56" t="s">
        <v>13</v>
      </c>
      <c r="N161" s="56" t="s">
        <v>28</v>
      </c>
      <c r="O161" s="56" t="s">
        <v>29</v>
      </c>
      <c r="P161" s="56" t="s">
        <v>30</v>
      </c>
      <c r="Q161" s="56" t="s">
        <v>31</v>
      </c>
    </row>
    <row r="162" spans="1:17" ht="15.75" customHeight="1">
      <c r="A162" s="67">
        <v>2023</v>
      </c>
      <c r="B162" s="18">
        <v>0.5</v>
      </c>
      <c r="C162" s="18">
        <v>0.8571428571428571</v>
      </c>
      <c r="D162" s="18">
        <v>0.875</v>
      </c>
      <c r="E162" s="68">
        <v>0.8571428571428571</v>
      </c>
      <c r="F162" s="68">
        <v>0.875</v>
      </c>
      <c r="G162" s="18">
        <v>0.77777777777777779</v>
      </c>
      <c r="H162" s="18">
        <v>0.82608695652173914</v>
      </c>
      <c r="I162" s="68">
        <v>0.84615384615384615</v>
      </c>
      <c r="J162" s="68">
        <v>0.88888888888888884</v>
      </c>
      <c r="K162" s="68">
        <v>0.8571428571428571</v>
      </c>
      <c r="L162" s="68">
        <v>0.75</v>
      </c>
      <c r="M162" s="68">
        <v>0.80952380952380953</v>
      </c>
      <c r="N162" s="58">
        <f>AVERAGE(B162:D162)</f>
        <v>0.74404761904761907</v>
      </c>
      <c r="O162" s="58">
        <f>AVERAGE(E162:G162)</f>
        <v>0.83664021164021163</v>
      </c>
      <c r="P162" s="58">
        <f>AVERAGE(H162:J162)</f>
        <v>0.85370989718815815</v>
      </c>
      <c r="Q162" s="58">
        <f>AVERAGE(K162:M162)</f>
        <v>0.80555555555555569</v>
      </c>
    </row>
    <row r="163" spans="1:17" ht="15.75" customHeight="1">
      <c r="A163" s="67">
        <v>2024</v>
      </c>
      <c r="B163" s="69">
        <v>0.8</v>
      </c>
      <c r="C163" s="69">
        <v>0.81666666666666698</v>
      </c>
      <c r="D163" s="69">
        <v>0.8</v>
      </c>
      <c r="E163" s="69">
        <v>0.82</v>
      </c>
      <c r="F163" s="69">
        <v>0.83333333333333337</v>
      </c>
      <c r="G163" s="69">
        <v>0.8</v>
      </c>
      <c r="H163" s="69">
        <v>0.8125</v>
      </c>
      <c r="I163" s="69">
        <v>0.77777777777777779</v>
      </c>
      <c r="J163" s="69">
        <v>0.82</v>
      </c>
      <c r="K163" s="69">
        <v>0.8</v>
      </c>
      <c r="L163" s="69">
        <v>0.8</v>
      </c>
      <c r="M163" s="69">
        <v>0.83333333333333337</v>
      </c>
      <c r="N163" s="58"/>
      <c r="O163" s="58"/>
      <c r="P163" s="58"/>
      <c r="Q163" s="58"/>
    </row>
    <row r="164" spans="1:17" ht="15.75" customHeight="1">
      <c r="A164" s="66">
        <v>2025</v>
      </c>
      <c r="B164" s="58">
        <f t="shared" ref="B164:M164" si="12">B21</f>
        <v>0.81818181818181823</v>
      </c>
      <c r="C164" s="58" t="e">
        <f t="shared" si="12"/>
        <v>#REF!</v>
      </c>
      <c r="D164" s="58" t="e">
        <f t="shared" si="12"/>
        <v>#REF!</v>
      </c>
      <c r="E164" s="58" t="str">
        <f t="shared" si="12"/>
        <v>#REF!</v>
      </c>
      <c r="F164" s="58" t="e">
        <f t="shared" si="12"/>
        <v>#REF!</v>
      </c>
      <c r="G164" s="58" t="e">
        <f t="shared" si="12"/>
        <v>#REF!</v>
      </c>
      <c r="H164" s="58" t="e">
        <f t="shared" si="12"/>
        <v>#REF!</v>
      </c>
      <c r="I164" s="58" t="e">
        <f t="shared" si="12"/>
        <v>#REF!</v>
      </c>
      <c r="J164" s="58" t="e">
        <f t="shared" si="12"/>
        <v>#REF!</v>
      </c>
      <c r="K164" s="58" t="e">
        <f t="shared" si="12"/>
        <v>#REF!</v>
      </c>
      <c r="L164" s="58" t="e">
        <f t="shared" si="12"/>
        <v>#REF!</v>
      </c>
      <c r="M164" s="58" t="e">
        <f t="shared" si="12"/>
        <v>#REF!</v>
      </c>
      <c r="N164" s="58" t="e">
        <f>AVERAGE(B164:D164)</f>
        <v>#REF!</v>
      </c>
      <c r="O164" s="58" t="e">
        <f>AVERAGE(E164:G164)</f>
        <v>#REF!</v>
      </c>
      <c r="P164" s="58" t="e">
        <f>AVERAGE(H164:J164)</f>
        <v>#REF!</v>
      </c>
      <c r="Q164" s="58" t="e">
        <f>AVERAGE(K164:M164)</f>
        <v>#REF!</v>
      </c>
    </row>
    <row r="165" spans="1:17" ht="15.75" customHeight="1">
      <c r="A165" s="60" t="s">
        <v>15</v>
      </c>
      <c r="B165" s="58">
        <v>0.9</v>
      </c>
      <c r="C165" s="58">
        <v>0.9</v>
      </c>
      <c r="D165" s="58">
        <v>0.9</v>
      </c>
      <c r="E165" s="58">
        <v>0.9</v>
      </c>
      <c r="F165" s="58">
        <v>0.9</v>
      </c>
      <c r="G165" s="58">
        <v>0.9</v>
      </c>
      <c r="H165" s="58">
        <v>0.9</v>
      </c>
      <c r="I165" s="58">
        <v>0.9</v>
      </c>
      <c r="J165" s="58">
        <v>0.9</v>
      </c>
      <c r="K165" s="58">
        <v>0.9</v>
      </c>
      <c r="L165" s="58">
        <v>0.9</v>
      </c>
      <c r="M165" s="58">
        <v>0.9</v>
      </c>
    </row>
    <row r="166" spans="1:17" ht="15.75" customHeight="1">
      <c r="A166" s="7"/>
    </row>
    <row r="167" spans="1:17" ht="15.75" customHeight="1">
      <c r="A167" s="7"/>
    </row>
    <row r="168" spans="1:17" ht="15.75" customHeight="1">
      <c r="A168" s="7"/>
    </row>
    <row r="169" spans="1:17" ht="15.75" customHeight="1">
      <c r="A169" s="7"/>
    </row>
    <row r="170" spans="1:17" ht="15.75" customHeight="1">
      <c r="A170" s="7"/>
    </row>
    <row r="171" spans="1:17" ht="15.75" customHeight="1">
      <c r="A171" s="7"/>
    </row>
    <row r="172" spans="1:17" ht="15.75" customHeight="1">
      <c r="A172" s="7"/>
    </row>
    <row r="173" spans="1:17" ht="15.75" customHeight="1">
      <c r="A173" s="7"/>
    </row>
    <row r="174" spans="1:17" ht="15.75" customHeight="1">
      <c r="A174" s="7"/>
    </row>
    <row r="175" spans="1:17" ht="15.75" customHeight="1">
      <c r="A175" s="7"/>
    </row>
    <row r="176" spans="1:17" ht="15.75" customHeight="1">
      <c r="A176" s="7"/>
    </row>
    <row r="177" spans="1:13" ht="15.75" customHeight="1">
      <c r="A177" s="7"/>
    </row>
    <row r="178" spans="1:13" ht="15.75" customHeight="1">
      <c r="A178" s="7"/>
    </row>
    <row r="179" spans="1:13" ht="15.75" customHeight="1">
      <c r="A179" s="7"/>
    </row>
    <row r="180" spans="1:13" ht="15.75" customHeight="1">
      <c r="A180" s="7"/>
    </row>
    <row r="181" spans="1:13" ht="15.75" customHeight="1">
      <c r="A181" s="7"/>
    </row>
    <row r="182" spans="1:13" ht="15.75" customHeight="1">
      <c r="A182" s="7"/>
    </row>
    <row r="183" spans="1:13" ht="15.75" customHeight="1">
      <c r="A183" s="7"/>
    </row>
    <row r="184" spans="1:13" ht="15.75" customHeight="1">
      <c r="A184" s="7"/>
    </row>
    <row r="185" spans="1:13" ht="15.75" customHeight="1">
      <c r="A185" s="7"/>
    </row>
    <row r="186" spans="1:13" ht="15.75" customHeight="1">
      <c r="A186" s="7"/>
    </row>
    <row r="187" spans="1:13" ht="26.25" customHeight="1">
      <c r="A187" s="150" t="s">
        <v>57</v>
      </c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9"/>
    </row>
    <row r="188" spans="1:13" ht="15.75" customHeight="1">
      <c r="A188" s="51" t="s">
        <v>43</v>
      </c>
      <c r="B188" s="45" t="s">
        <v>2</v>
      </c>
      <c r="C188" s="52" t="s">
        <v>3</v>
      </c>
      <c r="D188" s="45" t="s">
        <v>4</v>
      </c>
      <c r="E188" s="45" t="s">
        <v>5</v>
      </c>
      <c r="F188" s="45" t="s">
        <v>6</v>
      </c>
      <c r="G188" s="45" t="s">
        <v>7</v>
      </c>
      <c r="H188" s="45" t="s">
        <v>8</v>
      </c>
      <c r="I188" s="45" t="s">
        <v>9</v>
      </c>
      <c r="J188" s="45" t="s">
        <v>10</v>
      </c>
      <c r="K188" s="46" t="s">
        <v>11</v>
      </c>
      <c r="L188" s="46" t="s">
        <v>12</v>
      </c>
      <c r="M188" s="46" t="s">
        <v>13</v>
      </c>
    </row>
    <row r="189" spans="1:13" ht="18.75" customHeight="1">
      <c r="A189" s="62" t="s">
        <v>44</v>
      </c>
      <c r="B189" s="18" t="s">
        <v>142</v>
      </c>
      <c r="C189" s="18" t="s">
        <v>142</v>
      </c>
      <c r="D189" s="18" t="s">
        <v>142</v>
      </c>
      <c r="E189" s="18" t="s">
        <v>142</v>
      </c>
      <c r="F189" s="18" t="s">
        <v>142</v>
      </c>
      <c r="G189" s="18" t="s">
        <v>142</v>
      </c>
      <c r="H189" s="18" t="s">
        <v>142</v>
      </c>
      <c r="I189" s="18" t="s">
        <v>142</v>
      </c>
      <c r="J189" s="18" t="s">
        <v>142</v>
      </c>
      <c r="K189" s="18" t="s">
        <v>142</v>
      </c>
      <c r="L189" s="18" t="s">
        <v>142</v>
      </c>
      <c r="M189" s="18" t="s">
        <v>142</v>
      </c>
    </row>
    <row r="190" spans="1:13" ht="18.75" customHeight="1">
      <c r="A190" s="62" t="s">
        <v>45</v>
      </c>
      <c r="B190" s="18" t="s">
        <v>142</v>
      </c>
      <c r="C190" s="18" t="s">
        <v>142</v>
      </c>
      <c r="D190" s="18" t="s">
        <v>142</v>
      </c>
      <c r="E190" s="18" t="s">
        <v>142</v>
      </c>
      <c r="F190" s="18" t="s">
        <v>142</v>
      </c>
      <c r="G190" s="18" t="s">
        <v>142</v>
      </c>
      <c r="H190" s="18" t="s">
        <v>142</v>
      </c>
      <c r="I190" s="18" t="s">
        <v>142</v>
      </c>
      <c r="J190" s="18" t="s">
        <v>142</v>
      </c>
      <c r="K190" s="18" t="s">
        <v>142</v>
      </c>
      <c r="L190" s="18" t="s">
        <v>142</v>
      </c>
      <c r="M190" s="18" t="s">
        <v>142</v>
      </c>
    </row>
    <row r="191" spans="1:13" ht="18.75" customHeight="1">
      <c r="A191" s="62" t="s">
        <v>46</v>
      </c>
      <c r="B191" s="18" t="s">
        <v>142</v>
      </c>
      <c r="C191" s="18" t="s">
        <v>142</v>
      </c>
      <c r="D191" s="18" t="s">
        <v>142</v>
      </c>
      <c r="E191" s="18" t="s">
        <v>142</v>
      </c>
      <c r="F191" s="18" t="s">
        <v>142</v>
      </c>
      <c r="G191" s="18" t="s">
        <v>142</v>
      </c>
      <c r="H191" s="18" t="s">
        <v>142</v>
      </c>
      <c r="I191" s="18" t="s">
        <v>142</v>
      </c>
      <c r="J191" s="18" t="s">
        <v>142</v>
      </c>
      <c r="K191" s="18" t="s">
        <v>142</v>
      </c>
      <c r="L191" s="18" t="s">
        <v>142</v>
      </c>
      <c r="M191" s="18" t="s">
        <v>142</v>
      </c>
    </row>
    <row r="192" spans="1:13" ht="18.75" customHeight="1">
      <c r="A192" s="62" t="s">
        <v>47</v>
      </c>
      <c r="B192" s="18" t="s">
        <v>142</v>
      </c>
      <c r="C192" s="18" t="s">
        <v>142</v>
      </c>
      <c r="D192" s="18" t="s">
        <v>142</v>
      </c>
      <c r="E192" s="18" t="s">
        <v>142</v>
      </c>
      <c r="F192" s="18" t="s">
        <v>142</v>
      </c>
      <c r="G192" s="18" t="s">
        <v>142</v>
      </c>
      <c r="H192" s="18" t="s">
        <v>142</v>
      </c>
      <c r="I192" s="18" t="s">
        <v>142</v>
      </c>
      <c r="J192" s="18" t="s">
        <v>142</v>
      </c>
      <c r="K192" s="18" t="s">
        <v>142</v>
      </c>
      <c r="L192" s="18" t="s">
        <v>142</v>
      </c>
      <c r="M192" s="18" t="s">
        <v>142</v>
      </c>
    </row>
    <row r="193" spans="1:13" ht="15.75" customHeight="1">
      <c r="A193" s="21" t="s">
        <v>15</v>
      </c>
      <c r="B193" s="58">
        <v>0.83</v>
      </c>
      <c r="C193" s="58">
        <v>0.83</v>
      </c>
      <c r="D193" s="58">
        <v>0.83</v>
      </c>
      <c r="E193" s="58">
        <v>0.83</v>
      </c>
      <c r="F193" s="58">
        <v>0.83</v>
      </c>
      <c r="G193" s="58">
        <v>0.83</v>
      </c>
      <c r="H193" s="58">
        <v>0.83</v>
      </c>
      <c r="I193" s="58">
        <v>0.83</v>
      </c>
      <c r="J193" s="58">
        <v>0.83</v>
      </c>
      <c r="K193" s="58">
        <v>0.83</v>
      </c>
      <c r="L193" s="58">
        <v>0.83</v>
      </c>
      <c r="M193" s="58">
        <v>0.83</v>
      </c>
    </row>
    <row r="194" spans="1:13" ht="15.75" customHeight="1">
      <c r="A194" s="7"/>
    </row>
    <row r="195" spans="1:13" ht="15.75" customHeight="1">
      <c r="A195" s="7"/>
    </row>
    <row r="196" spans="1:13" ht="15.75" customHeight="1">
      <c r="A196" s="7"/>
    </row>
    <row r="197" spans="1:13" ht="15.75" customHeight="1">
      <c r="A197" s="7"/>
    </row>
    <row r="198" spans="1:13" ht="15.75" customHeight="1">
      <c r="A198" s="7"/>
    </row>
    <row r="199" spans="1:13" ht="15.75" customHeight="1">
      <c r="A199" s="7"/>
    </row>
    <row r="200" spans="1:13" ht="15.75" customHeight="1">
      <c r="A200" s="7"/>
    </row>
    <row r="201" spans="1:13" ht="15.75" customHeight="1">
      <c r="A201" s="7"/>
    </row>
    <row r="202" spans="1:13" ht="15.75" customHeight="1">
      <c r="A202" s="7"/>
    </row>
    <row r="203" spans="1:13" ht="15.75" customHeight="1">
      <c r="A203" s="7"/>
    </row>
    <row r="204" spans="1:13" ht="15.75" customHeight="1">
      <c r="A204" s="7"/>
    </row>
    <row r="205" spans="1:13" ht="15.75" customHeight="1">
      <c r="A205" s="7"/>
    </row>
    <row r="206" spans="1:13" ht="15.75" customHeight="1">
      <c r="A206" s="7"/>
    </row>
    <row r="207" spans="1:13" ht="15.75" customHeight="1">
      <c r="A207" s="7"/>
    </row>
    <row r="208" spans="1:13" ht="15.75" customHeight="1">
      <c r="A208" s="7"/>
    </row>
    <row r="209" spans="1:13" ht="15.75" customHeight="1">
      <c r="A209" s="7"/>
    </row>
    <row r="210" spans="1:13" ht="26.25" customHeight="1">
      <c r="A210" s="152" t="s">
        <v>58</v>
      </c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6"/>
    </row>
    <row r="211" spans="1:13" ht="15.75" customHeight="1">
      <c r="A211" s="51" t="s">
        <v>37</v>
      </c>
      <c r="B211" s="45" t="s">
        <v>2</v>
      </c>
      <c r="C211" s="52" t="s">
        <v>3</v>
      </c>
      <c r="D211" s="45" t="s">
        <v>4</v>
      </c>
      <c r="E211" s="45" t="s">
        <v>5</v>
      </c>
      <c r="F211" s="45" t="s">
        <v>6</v>
      </c>
      <c r="G211" s="45" t="s">
        <v>7</v>
      </c>
      <c r="H211" s="45" t="s">
        <v>8</v>
      </c>
      <c r="I211" s="45" t="s">
        <v>9</v>
      </c>
      <c r="J211" s="45" t="s">
        <v>10</v>
      </c>
      <c r="K211" s="46" t="s">
        <v>11</v>
      </c>
      <c r="L211" s="46" t="s">
        <v>12</v>
      </c>
      <c r="M211" s="46" t="s">
        <v>13</v>
      </c>
    </row>
    <row r="212" spans="1:13" ht="18.75" customHeight="1">
      <c r="A212" s="53" t="s">
        <v>38</v>
      </c>
      <c r="B212" s="18" t="s">
        <v>142</v>
      </c>
      <c r="C212" s="18" t="s">
        <v>142</v>
      </c>
      <c r="D212" s="18" t="s">
        <v>142</v>
      </c>
      <c r="E212" s="18" t="s">
        <v>142</v>
      </c>
      <c r="F212" s="18" t="s">
        <v>142</v>
      </c>
      <c r="G212" s="18" t="s">
        <v>142</v>
      </c>
      <c r="H212" s="18" t="s">
        <v>142</v>
      </c>
      <c r="I212" s="18" t="s">
        <v>142</v>
      </c>
      <c r="J212" s="18" t="s">
        <v>142</v>
      </c>
      <c r="K212" s="18" t="s">
        <v>142</v>
      </c>
      <c r="L212" s="18" t="s">
        <v>142</v>
      </c>
      <c r="M212" s="18" t="s">
        <v>142</v>
      </c>
    </row>
    <row r="213" spans="1:13" ht="18.75" customHeight="1">
      <c r="A213" s="70" t="s">
        <v>50</v>
      </c>
      <c r="B213" s="18" t="s">
        <v>142</v>
      </c>
      <c r="C213" s="18" t="s">
        <v>142</v>
      </c>
      <c r="D213" s="18" t="s">
        <v>142</v>
      </c>
      <c r="E213" s="18" t="s">
        <v>142</v>
      </c>
      <c r="F213" s="18" t="s">
        <v>142</v>
      </c>
      <c r="G213" s="18" t="s">
        <v>142</v>
      </c>
      <c r="H213" s="18" t="s">
        <v>142</v>
      </c>
      <c r="I213" s="18" t="s">
        <v>142</v>
      </c>
      <c r="J213" s="18" t="s">
        <v>142</v>
      </c>
      <c r="K213" s="18" t="s">
        <v>142</v>
      </c>
      <c r="L213" s="18" t="s">
        <v>142</v>
      </c>
      <c r="M213" s="18" t="s">
        <v>142</v>
      </c>
    </row>
    <row r="214" spans="1:13" ht="18.75" customHeight="1">
      <c r="A214" s="70" t="s">
        <v>55</v>
      </c>
      <c r="B214" s="18" t="s">
        <v>142</v>
      </c>
      <c r="C214" s="18" t="s">
        <v>142</v>
      </c>
      <c r="D214" s="18" t="s">
        <v>142</v>
      </c>
      <c r="E214" s="18" t="s">
        <v>142</v>
      </c>
      <c r="F214" s="18" t="s">
        <v>142</v>
      </c>
      <c r="G214" s="18" t="s">
        <v>142</v>
      </c>
      <c r="H214" s="18" t="s">
        <v>142</v>
      </c>
      <c r="I214" s="18" t="s">
        <v>142</v>
      </c>
      <c r="J214" s="18" t="s">
        <v>142</v>
      </c>
      <c r="K214" s="18" t="s">
        <v>142</v>
      </c>
      <c r="L214" s="18" t="s">
        <v>142</v>
      </c>
      <c r="M214" s="18" t="s">
        <v>142</v>
      </c>
    </row>
    <row r="215" spans="1:13" ht="18.75" customHeight="1">
      <c r="A215" s="70" t="s">
        <v>40</v>
      </c>
      <c r="B215" s="18" t="s">
        <v>142</v>
      </c>
      <c r="C215" s="18" t="s">
        <v>142</v>
      </c>
      <c r="D215" s="18" t="s">
        <v>142</v>
      </c>
      <c r="E215" s="18" t="s">
        <v>142</v>
      </c>
      <c r="F215" s="18" t="s">
        <v>142</v>
      </c>
      <c r="G215" s="18" t="s">
        <v>142</v>
      </c>
      <c r="H215" s="18" t="s">
        <v>142</v>
      </c>
      <c r="I215" s="18" t="s">
        <v>142</v>
      </c>
      <c r="J215" s="18" t="s">
        <v>142</v>
      </c>
      <c r="K215" s="18" t="s">
        <v>142</v>
      </c>
      <c r="L215" s="18" t="s">
        <v>142</v>
      </c>
      <c r="M215" s="18" t="s">
        <v>142</v>
      </c>
    </row>
    <row r="216" spans="1:13" ht="15.75" customHeight="1">
      <c r="A216" s="21" t="s">
        <v>15</v>
      </c>
      <c r="B216" s="58">
        <v>0.83</v>
      </c>
      <c r="C216" s="58">
        <v>0.83</v>
      </c>
      <c r="D216" s="58">
        <v>0.83</v>
      </c>
      <c r="E216" s="58">
        <v>0.83</v>
      </c>
      <c r="F216" s="58">
        <v>0.83</v>
      </c>
      <c r="G216" s="58">
        <v>0.83</v>
      </c>
      <c r="H216" s="58">
        <v>0.83</v>
      </c>
      <c r="I216" s="58">
        <v>0.83</v>
      </c>
      <c r="J216" s="58">
        <v>0.83</v>
      </c>
      <c r="K216" s="58">
        <v>0.83</v>
      </c>
      <c r="L216" s="58">
        <v>0.83</v>
      </c>
      <c r="M216" s="58">
        <v>0.83</v>
      </c>
    </row>
    <row r="217" spans="1:13" ht="15.75" customHeight="1">
      <c r="A217" s="7"/>
      <c r="F217" s="7" t="s">
        <v>59</v>
      </c>
      <c r="K217" s="24"/>
      <c r="L217" s="24"/>
      <c r="M217" s="24"/>
    </row>
    <row r="218" spans="1:13" ht="15.75" customHeight="1">
      <c r="A218" s="7"/>
    </row>
    <row r="219" spans="1:13" ht="15.75" customHeight="1">
      <c r="A219" s="7"/>
    </row>
    <row r="220" spans="1:13" ht="15.75" customHeight="1">
      <c r="A220" s="7"/>
    </row>
    <row r="221" spans="1:13" ht="15.75" customHeight="1">
      <c r="A221" s="7"/>
    </row>
    <row r="222" spans="1:13" ht="15.75" customHeight="1">
      <c r="A222" s="7"/>
    </row>
    <row r="223" spans="1:13" ht="15.75" customHeight="1">
      <c r="A223" s="7"/>
    </row>
    <row r="224" spans="1:13" ht="15.75" customHeight="1">
      <c r="A224" s="7"/>
    </row>
    <row r="225" spans="1:1" ht="15.75" customHeight="1">
      <c r="A225" s="7"/>
    </row>
    <row r="226" spans="1:1" ht="15.75" customHeight="1">
      <c r="A226" s="7"/>
    </row>
    <row r="227" spans="1:1" ht="15.75" customHeight="1">
      <c r="A227" s="7"/>
    </row>
    <row r="228" spans="1:1" ht="15.75" customHeight="1">
      <c r="A228" s="7"/>
    </row>
    <row r="229" spans="1:1" ht="15.75" customHeight="1">
      <c r="A229" s="7"/>
    </row>
    <row r="230" spans="1:1" ht="15.75" customHeight="1">
      <c r="A230" s="7"/>
    </row>
    <row r="231" spans="1:1" ht="15.75" customHeight="1">
      <c r="A231" s="7"/>
    </row>
    <row r="232" spans="1:1" ht="15.75" customHeight="1">
      <c r="A232" s="7"/>
    </row>
    <row r="233" spans="1:1" ht="15.75" customHeight="1">
      <c r="A233" s="7"/>
    </row>
    <row r="234" spans="1:1" ht="15.75" customHeight="1">
      <c r="A234" s="7"/>
    </row>
    <row r="235" spans="1:1" ht="15.75" customHeight="1">
      <c r="A235" s="7"/>
    </row>
    <row r="236" spans="1:1" ht="15.75" customHeight="1">
      <c r="A236" s="7"/>
    </row>
    <row r="237" spans="1:1" ht="15.75" customHeight="1">
      <c r="A237" s="7"/>
    </row>
    <row r="238" spans="1:1" ht="15.75" customHeight="1">
      <c r="A238" s="7"/>
    </row>
    <row r="239" spans="1:1" ht="15.75" customHeight="1">
      <c r="A239" s="7"/>
    </row>
    <row r="240" spans="1:1" ht="15.75" customHeight="1">
      <c r="A240" s="7"/>
    </row>
    <row r="241" spans="1:1" ht="15.75" customHeight="1">
      <c r="A241" s="7"/>
    </row>
    <row r="242" spans="1:1" ht="15.75" customHeight="1">
      <c r="A242" s="7"/>
    </row>
    <row r="243" spans="1:1" ht="15.75" customHeight="1">
      <c r="A243" s="7"/>
    </row>
    <row r="244" spans="1:1" ht="15.75" customHeight="1">
      <c r="A244" s="7"/>
    </row>
    <row r="245" spans="1:1" ht="15.75" customHeight="1">
      <c r="A245" s="7"/>
    </row>
    <row r="246" spans="1:1" ht="15.75" customHeight="1">
      <c r="A246" s="7"/>
    </row>
    <row r="247" spans="1:1" ht="15.75" customHeight="1">
      <c r="A247" s="7"/>
    </row>
    <row r="248" spans="1:1" ht="15.75" customHeight="1">
      <c r="A248" s="7"/>
    </row>
    <row r="249" spans="1:1" ht="15.75" customHeight="1">
      <c r="A249" s="7"/>
    </row>
    <row r="250" spans="1:1" ht="15.75" customHeight="1">
      <c r="A250" s="7"/>
    </row>
    <row r="251" spans="1:1" ht="15.75" customHeight="1">
      <c r="A251" s="7"/>
    </row>
    <row r="252" spans="1:1" ht="15.75" customHeight="1">
      <c r="A252" s="7"/>
    </row>
    <row r="253" spans="1:1" ht="15.75" customHeight="1">
      <c r="A253" s="7"/>
    </row>
    <row r="254" spans="1:1" ht="15.75" customHeight="1">
      <c r="A254" s="7"/>
    </row>
    <row r="255" spans="1:1" ht="15.75" customHeight="1">
      <c r="A255" s="7"/>
    </row>
    <row r="256" spans="1:1" ht="15.75" customHeight="1">
      <c r="A256" s="7"/>
    </row>
    <row r="257" spans="1:1" ht="15.75" customHeight="1">
      <c r="A257" s="7"/>
    </row>
    <row r="258" spans="1:1" ht="15.75" customHeight="1">
      <c r="A258" s="7"/>
    </row>
    <row r="259" spans="1:1" ht="15.75" customHeight="1">
      <c r="A259" s="7"/>
    </row>
    <row r="260" spans="1:1" ht="15.75" customHeight="1">
      <c r="A260" s="7"/>
    </row>
    <row r="261" spans="1:1" ht="15.75" customHeight="1">
      <c r="A261" s="7"/>
    </row>
    <row r="262" spans="1:1" ht="15.75" customHeight="1">
      <c r="A262" s="7"/>
    </row>
    <row r="263" spans="1:1" ht="15.75" customHeight="1">
      <c r="A263" s="7"/>
    </row>
    <row r="264" spans="1:1" ht="15.75" customHeight="1">
      <c r="A264" s="7"/>
    </row>
    <row r="265" spans="1:1" ht="15.75" customHeight="1">
      <c r="A265" s="7"/>
    </row>
    <row r="266" spans="1:1" ht="15.75" customHeight="1">
      <c r="A266" s="7"/>
    </row>
    <row r="267" spans="1:1" ht="15.75" customHeight="1">
      <c r="A267" s="7"/>
    </row>
    <row r="268" spans="1:1" ht="15.75" customHeight="1">
      <c r="A268" s="7"/>
    </row>
    <row r="269" spans="1:1" ht="15.75" customHeight="1">
      <c r="A269" s="7"/>
    </row>
    <row r="270" spans="1:1" ht="15.75" customHeight="1">
      <c r="A270" s="7"/>
    </row>
    <row r="271" spans="1:1" ht="15.75" customHeight="1">
      <c r="A271" s="7"/>
    </row>
    <row r="272" spans="1:1" ht="15.75" customHeight="1">
      <c r="A272" s="7"/>
    </row>
    <row r="273" spans="1:1" ht="15.75" customHeight="1">
      <c r="A273" s="7"/>
    </row>
    <row r="274" spans="1:1" ht="15.75" customHeight="1">
      <c r="A274" s="7"/>
    </row>
    <row r="275" spans="1:1" ht="15.75" customHeight="1">
      <c r="A275" s="7"/>
    </row>
    <row r="276" spans="1:1" ht="15.75" customHeight="1">
      <c r="A276" s="7"/>
    </row>
    <row r="277" spans="1:1" ht="15.75" customHeight="1">
      <c r="A277" s="7"/>
    </row>
    <row r="278" spans="1:1" ht="15.75" customHeight="1">
      <c r="A278" s="7"/>
    </row>
    <row r="279" spans="1:1" ht="15.75" customHeight="1">
      <c r="A279" s="7"/>
    </row>
    <row r="280" spans="1:1" ht="15.75" customHeight="1">
      <c r="A280" s="7"/>
    </row>
    <row r="281" spans="1:1" ht="15.75" customHeight="1">
      <c r="A281" s="7"/>
    </row>
    <row r="282" spans="1:1" ht="15.75" customHeight="1">
      <c r="A282" s="7"/>
    </row>
    <row r="283" spans="1:1" ht="15.75" customHeight="1">
      <c r="A283" s="7"/>
    </row>
    <row r="284" spans="1:1" ht="15.75" customHeight="1">
      <c r="A284" s="7"/>
    </row>
    <row r="285" spans="1:1" ht="15.75" customHeight="1">
      <c r="A285" s="7"/>
    </row>
    <row r="286" spans="1:1" ht="15.75" customHeight="1">
      <c r="A286" s="7"/>
    </row>
    <row r="287" spans="1:1" ht="15.75" customHeight="1">
      <c r="A287" s="7"/>
    </row>
    <row r="288" spans="1:1" ht="15.75" customHeight="1">
      <c r="A288" s="7"/>
    </row>
    <row r="289" spans="1:1" ht="15.75" customHeight="1">
      <c r="A289" s="7"/>
    </row>
    <row r="290" spans="1:1" ht="15.75" customHeight="1">
      <c r="A290" s="7"/>
    </row>
    <row r="291" spans="1:1" ht="15.75" customHeight="1">
      <c r="A291" s="7"/>
    </row>
    <row r="292" spans="1:1" ht="15.75" customHeight="1">
      <c r="A292" s="7"/>
    </row>
    <row r="293" spans="1:1" ht="15.75" customHeight="1">
      <c r="A293" s="7"/>
    </row>
    <row r="294" spans="1:1" ht="15.75" customHeight="1">
      <c r="A294" s="7"/>
    </row>
    <row r="295" spans="1:1" ht="15.75" customHeight="1">
      <c r="A295" s="7"/>
    </row>
    <row r="296" spans="1:1" ht="15.75" customHeight="1">
      <c r="A296" s="7"/>
    </row>
    <row r="297" spans="1:1" ht="15.75" customHeight="1">
      <c r="A297" s="7"/>
    </row>
    <row r="298" spans="1:1" ht="15.75" customHeight="1">
      <c r="A298" s="7"/>
    </row>
    <row r="299" spans="1:1" ht="15.75" customHeight="1">
      <c r="A299" s="7"/>
    </row>
    <row r="300" spans="1:1" ht="15.75" customHeight="1">
      <c r="A300" s="7"/>
    </row>
    <row r="301" spans="1:1" ht="15.75" customHeight="1">
      <c r="A301" s="7"/>
    </row>
    <row r="302" spans="1:1" ht="15.75" customHeight="1">
      <c r="A302" s="7"/>
    </row>
    <row r="303" spans="1:1" ht="15.75" customHeight="1">
      <c r="A303" s="7"/>
    </row>
    <row r="304" spans="1:1" ht="15.75" customHeight="1">
      <c r="A304" s="7"/>
    </row>
    <row r="305" spans="1:1" ht="15.75" customHeight="1">
      <c r="A305" s="7"/>
    </row>
    <row r="306" spans="1:1" ht="15.75" customHeight="1">
      <c r="A306" s="7"/>
    </row>
    <row r="307" spans="1:1" ht="15.75" customHeight="1">
      <c r="A307" s="7"/>
    </row>
    <row r="308" spans="1:1" ht="15.75" customHeight="1">
      <c r="A308" s="7"/>
    </row>
    <row r="309" spans="1:1" ht="15.75" customHeight="1">
      <c r="A309" s="7"/>
    </row>
    <row r="310" spans="1:1" ht="15.75" customHeight="1">
      <c r="A310" s="7"/>
    </row>
    <row r="311" spans="1:1" ht="15.75" customHeight="1">
      <c r="A311" s="7"/>
    </row>
    <row r="312" spans="1:1" ht="15.75" customHeight="1">
      <c r="A312" s="7"/>
    </row>
    <row r="313" spans="1:1" ht="15.75" customHeight="1">
      <c r="A313" s="7"/>
    </row>
    <row r="314" spans="1:1" ht="15.75" customHeight="1">
      <c r="A314" s="7"/>
    </row>
    <row r="315" spans="1:1" ht="15.75" customHeight="1">
      <c r="A315" s="7"/>
    </row>
    <row r="316" spans="1:1" ht="15.75" customHeight="1">
      <c r="A316" s="7"/>
    </row>
    <row r="317" spans="1:1" ht="15.75" customHeight="1">
      <c r="A317" s="7"/>
    </row>
    <row r="318" spans="1:1" ht="15.75" customHeight="1">
      <c r="A318" s="7"/>
    </row>
    <row r="319" spans="1:1" ht="15.75" customHeight="1">
      <c r="A319" s="7"/>
    </row>
    <row r="320" spans="1:1" ht="15.75" customHeight="1">
      <c r="A320" s="7"/>
    </row>
    <row r="321" spans="1:1" ht="15.75" customHeight="1">
      <c r="A321" s="7"/>
    </row>
    <row r="322" spans="1:1" ht="15.75" customHeight="1">
      <c r="A322" s="7"/>
    </row>
    <row r="323" spans="1:1" ht="15.75" customHeight="1">
      <c r="A323" s="7"/>
    </row>
    <row r="324" spans="1:1" ht="15.75" customHeight="1">
      <c r="A324" s="7"/>
    </row>
    <row r="325" spans="1:1" ht="15.75" customHeight="1">
      <c r="A325" s="7"/>
    </row>
    <row r="326" spans="1:1" ht="15.75" customHeight="1">
      <c r="A326" s="7"/>
    </row>
    <row r="327" spans="1:1" ht="15.75" customHeight="1">
      <c r="A327" s="7"/>
    </row>
    <row r="328" spans="1:1" ht="15.75" customHeight="1">
      <c r="A328" s="7"/>
    </row>
    <row r="329" spans="1:1" ht="15.75" customHeight="1">
      <c r="A329" s="7"/>
    </row>
    <row r="330" spans="1:1" ht="15.75" customHeight="1">
      <c r="A330" s="7"/>
    </row>
    <row r="331" spans="1:1" ht="15.75" customHeight="1">
      <c r="A331" s="7"/>
    </row>
    <row r="332" spans="1:1" ht="15.75" customHeight="1">
      <c r="A332" s="7"/>
    </row>
    <row r="333" spans="1:1" ht="15.75" customHeight="1">
      <c r="A333" s="7"/>
    </row>
    <row r="334" spans="1:1" ht="15.75" customHeight="1">
      <c r="A334" s="7"/>
    </row>
    <row r="335" spans="1:1" ht="15.75" customHeight="1">
      <c r="A335" s="7"/>
    </row>
    <row r="336" spans="1:1" ht="15.75" customHeight="1">
      <c r="A336" s="7"/>
    </row>
    <row r="337" spans="1:1" ht="15.75" customHeight="1">
      <c r="A337" s="7"/>
    </row>
    <row r="338" spans="1:1" ht="15.75" customHeight="1">
      <c r="A338" s="7"/>
    </row>
    <row r="339" spans="1:1" ht="15.75" customHeight="1">
      <c r="A339" s="7"/>
    </row>
    <row r="340" spans="1:1" ht="15.75" customHeight="1">
      <c r="A340" s="7"/>
    </row>
    <row r="341" spans="1:1" ht="15.75" customHeight="1">
      <c r="A341" s="7"/>
    </row>
    <row r="342" spans="1:1" ht="15.75" customHeight="1">
      <c r="A342" s="7"/>
    </row>
    <row r="343" spans="1:1" ht="15.75" customHeight="1">
      <c r="A343" s="7"/>
    </row>
    <row r="344" spans="1:1" ht="15.75" customHeight="1">
      <c r="A344" s="7"/>
    </row>
    <row r="345" spans="1:1" ht="15.75" customHeight="1">
      <c r="A345" s="7"/>
    </row>
    <row r="346" spans="1:1" ht="15.75" customHeight="1">
      <c r="A346" s="7"/>
    </row>
    <row r="347" spans="1:1" ht="15.75" customHeight="1">
      <c r="A347" s="7"/>
    </row>
    <row r="348" spans="1:1" ht="15.75" customHeight="1">
      <c r="A348" s="7"/>
    </row>
    <row r="349" spans="1:1" ht="15.75" customHeight="1">
      <c r="A349" s="7"/>
    </row>
    <row r="350" spans="1:1" ht="15.75" customHeight="1">
      <c r="A350" s="7"/>
    </row>
    <row r="351" spans="1:1" ht="15.75" customHeight="1">
      <c r="A351" s="7"/>
    </row>
    <row r="352" spans="1:1" ht="15.75" customHeight="1">
      <c r="A352" s="7"/>
    </row>
    <row r="353" spans="1:1" ht="15.75" customHeight="1">
      <c r="A353" s="7"/>
    </row>
    <row r="354" spans="1:1" ht="15.75" customHeight="1">
      <c r="A354" s="7"/>
    </row>
    <row r="355" spans="1:1" ht="15.75" customHeight="1">
      <c r="A355" s="7"/>
    </row>
    <row r="356" spans="1:1" ht="15.75" customHeight="1">
      <c r="A356" s="7"/>
    </row>
    <row r="357" spans="1:1" ht="15.75" customHeight="1">
      <c r="A357" s="7"/>
    </row>
    <row r="358" spans="1:1" ht="15.75" customHeight="1">
      <c r="A358" s="7"/>
    </row>
    <row r="359" spans="1:1" ht="15.75" customHeight="1">
      <c r="A359" s="7"/>
    </row>
    <row r="360" spans="1:1" ht="15.75" customHeight="1">
      <c r="A360" s="7"/>
    </row>
    <row r="361" spans="1:1" ht="15.75" customHeight="1">
      <c r="A361" s="7"/>
    </row>
    <row r="362" spans="1:1" ht="15.75" customHeight="1">
      <c r="A362" s="7"/>
    </row>
    <row r="363" spans="1:1" ht="15.75" customHeight="1">
      <c r="A363" s="7"/>
    </row>
    <row r="364" spans="1:1" ht="15.75" customHeight="1">
      <c r="A364" s="7"/>
    </row>
    <row r="365" spans="1:1" ht="15.75" customHeight="1">
      <c r="A365" s="7"/>
    </row>
    <row r="366" spans="1:1" ht="15.75" customHeight="1">
      <c r="A366" s="7"/>
    </row>
    <row r="367" spans="1:1" ht="15.75" customHeight="1">
      <c r="A367" s="7"/>
    </row>
    <row r="368" spans="1:1" ht="15.75" customHeight="1">
      <c r="A368" s="7"/>
    </row>
    <row r="369" spans="1:1" ht="15.75" customHeight="1">
      <c r="A369" s="7"/>
    </row>
    <row r="370" spans="1:1" ht="15.75" customHeight="1">
      <c r="A370" s="7"/>
    </row>
    <row r="371" spans="1:1" ht="15.75" customHeight="1">
      <c r="A371" s="7"/>
    </row>
    <row r="372" spans="1:1" ht="15.75" customHeight="1">
      <c r="A372" s="7"/>
    </row>
    <row r="373" spans="1:1" ht="15.75" customHeight="1">
      <c r="A373" s="7"/>
    </row>
    <row r="374" spans="1:1" ht="15.75" customHeight="1">
      <c r="A374" s="7"/>
    </row>
    <row r="375" spans="1:1" ht="15.75" customHeight="1">
      <c r="A375" s="7"/>
    </row>
    <row r="376" spans="1:1" ht="15.75" customHeight="1">
      <c r="A376" s="7"/>
    </row>
    <row r="377" spans="1:1" ht="15.75" customHeight="1">
      <c r="A377" s="7"/>
    </row>
    <row r="378" spans="1:1" ht="15.75" customHeight="1">
      <c r="A378" s="7"/>
    </row>
    <row r="379" spans="1:1" ht="15.75" customHeight="1">
      <c r="A379" s="7"/>
    </row>
    <row r="380" spans="1:1" ht="15.75" customHeight="1">
      <c r="A380" s="7"/>
    </row>
    <row r="381" spans="1:1" ht="15.75" customHeight="1">
      <c r="A381" s="7"/>
    </row>
    <row r="382" spans="1:1" ht="15.75" customHeight="1">
      <c r="A382" s="7"/>
    </row>
    <row r="383" spans="1:1" ht="15.75" customHeight="1">
      <c r="A383" s="7"/>
    </row>
    <row r="384" spans="1:1" ht="15.75" customHeight="1">
      <c r="A384" s="7"/>
    </row>
    <row r="385" spans="1:1" ht="15.75" customHeight="1">
      <c r="A385" s="7"/>
    </row>
    <row r="386" spans="1:1" ht="15.75" customHeight="1">
      <c r="A386" s="7"/>
    </row>
    <row r="387" spans="1:1" ht="15.75" customHeight="1">
      <c r="A387" s="7"/>
    </row>
    <row r="388" spans="1:1" ht="15.75" customHeight="1">
      <c r="A388" s="7"/>
    </row>
    <row r="389" spans="1:1" ht="15.75" customHeight="1">
      <c r="A389" s="7"/>
    </row>
    <row r="390" spans="1:1" ht="15.75" customHeight="1">
      <c r="A390" s="7"/>
    </row>
    <row r="391" spans="1:1" ht="15.75" customHeight="1">
      <c r="A391" s="7"/>
    </row>
    <row r="392" spans="1:1" ht="15.75" customHeight="1">
      <c r="A392" s="7"/>
    </row>
    <row r="393" spans="1:1" ht="15.75" customHeight="1">
      <c r="A393" s="7"/>
    </row>
    <row r="394" spans="1:1" ht="15.75" customHeight="1">
      <c r="A394" s="7"/>
    </row>
    <row r="395" spans="1:1" ht="15.75" customHeight="1">
      <c r="A395" s="7"/>
    </row>
    <row r="396" spans="1:1" ht="15.75" customHeight="1">
      <c r="A396" s="7"/>
    </row>
    <row r="397" spans="1:1" ht="15.75" customHeight="1">
      <c r="A397" s="7"/>
    </row>
    <row r="398" spans="1:1" ht="15.75" customHeight="1">
      <c r="A398" s="7"/>
    </row>
    <row r="399" spans="1:1" ht="15.75" customHeight="1">
      <c r="A399" s="7"/>
    </row>
    <row r="400" spans="1:1" ht="15.75" customHeight="1">
      <c r="A400" s="7"/>
    </row>
    <row r="401" spans="1:1" ht="15.75" customHeight="1">
      <c r="A401" s="7"/>
    </row>
    <row r="402" spans="1:1" ht="15.75" customHeight="1">
      <c r="A402" s="7"/>
    </row>
    <row r="403" spans="1:1" ht="15.75" customHeight="1">
      <c r="A403" s="7"/>
    </row>
    <row r="404" spans="1:1" ht="15.75" customHeight="1">
      <c r="A404" s="7"/>
    </row>
    <row r="405" spans="1:1" ht="15.75" customHeight="1">
      <c r="A405" s="7"/>
    </row>
    <row r="406" spans="1:1" ht="15.75" customHeight="1">
      <c r="A406" s="7"/>
    </row>
    <row r="407" spans="1:1" ht="15.75" customHeight="1">
      <c r="A407" s="7"/>
    </row>
    <row r="408" spans="1:1" ht="15.75" customHeight="1">
      <c r="A408" s="7"/>
    </row>
    <row r="409" spans="1:1" ht="15.75" customHeight="1">
      <c r="A409" s="7"/>
    </row>
    <row r="410" spans="1:1" ht="15.75" customHeight="1">
      <c r="A410" s="7"/>
    </row>
    <row r="411" spans="1:1" ht="15.75" customHeight="1">
      <c r="A411" s="7"/>
    </row>
    <row r="412" spans="1:1" ht="15.75" customHeight="1">
      <c r="A412" s="7"/>
    </row>
    <row r="413" spans="1:1" ht="15.75" customHeight="1">
      <c r="A413" s="7"/>
    </row>
    <row r="414" spans="1:1" ht="15.75" customHeight="1">
      <c r="A414" s="7"/>
    </row>
    <row r="415" spans="1:1" ht="15.75" customHeight="1">
      <c r="A415" s="7"/>
    </row>
    <row r="416" spans="1:1" ht="15.75" customHeight="1">
      <c r="A416" s="7"/>
    </row>
    <row r="417" spans="1:1" ht="15.75" customHeight="1">
      <c r="A417" s="7"/>
    </row>
    <row r="418" spans="1:1" ht="15.75" customHeight="1"/>
    <row r="419" spans="1:1" ht="15.75" customHeight="1"/>
    <row r="420" spans="1:1" ht="15.75" customHeight="1"/>
    <row r="421" spans="1:1" ht="15.75" customHeight="1"/>
    <row r="422" spans="1:1" ht="15.75" customHeight="1"/>
    <row r="423" spans="1:1" ht="15.75" customHeight="1"/>
    <row r="424" spans="1:1" ht="15.75" customHeight="1"/>
    <row r="425" spans="1:1" ht="15.75" customHeight="1"/>
    <row r="426" spans="1:1" ht="15.75" customHeight="1"/>
    <row r="427" spans="1:1" ht="15.75" customHeight="1"/>
    <row r="428" spans="1:1" ht="15.75" customHeight="1"/>
    <row r="429" spans="1:1" ht="15.75" customHeight="1"/>
    <row r="430" spans="1:1" ht="15.75" customHeight="1"/>
    <row r="431" spans="1:1" ht="15.75" customHeight="1"/>
    <row r="432" spans="1:1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130:M130"/>
    <mergeCell ref="A143:M143"/>
    <mergeCell ref="A160:M160"/>
    <mergeCell ref="A187:M187"/>
    <mergeCell ref="A210:M210"/>
    <mergeCell ref="A92:M92"/>
    <mergeCell ref="A105:M105"/>
    <mergeCell ref="A1:M1"/>
    <mergeCell ref="A16:M16"/>
    <mergeCell ref="A35:M35"/>
    <mergeCell ref="A50:M50"/>
    <mergeCell ref="A74:M74"/>
  </mergeCells>
  <conditionalFormatting sqref="A76:A79">
    <cfRule type="cellIs" dxfId="39" priority="1" operator="equal">
      <formula>"VIA AEREA"</formula>
    </cfRule>
    <cfRule type="cellIs" dxfId="38" priority="2" operator="equal">
      <formula>"GOTAS"</formula>
    </cfRule>
    <cfRule type="cellIs" dxfId="37" priority="3" operator="equal">
      <formula>"CONTACTO"</formula>
    </cfRule>
  </conditionalFormatting>
  <conditionalFormatting sqref="A132:A135">
    <cfRule type="cellIs" dxfId="36" priority="4" operator="equal">
      <formula>"VIA AEREA"</formula>
    </cfRule>
    <cfRule type="cellIs" dxfId="35" priority="5" operator="equal">
      <formula>"GOTAS"</formula>
    </cfRule>
    <cfRule type="cellIs" dxfId="34" priority="6" operator="equal">
      <formula>"CONTACTO"</formula>
    </cfRule>
  </conditionalFormatting>
  <conditionalFormatting sqref="A189:A192">
    <cfRule type="cellIs" dxfId="33" priority="7" operator="equal">
      <formula>"VIA AEREA"</formula>
    </cfRule>
    <cfRule type="cellIs" dxfId="32" priority="8" operator="equal">
      <formula>"GOTAS"</formula>
    </cfRule>
    <cfRule type="cellIs" dxfId="31" priority="9" operator="equal">
      <formula>"CONTACTO"</formula>
    </cfRule>
  </conditionalFormatting>
  <conditionalFormatting sqref="B189:L192">
    <cfRule type="cellIs" dxfId="30" priority="10" operator="lessThan">
      <formula>0.7</formula>
    </cfRule>
  </conditionalFormatting>
  <conditionalFormatting sqref="B5:M5">
    <cfRule type="cellIs" dxfId="29" priority="11" operator="lessThan">
      <formula>0.7</formula>
    </cfRule>
  </conditionalFormatting>
  <conditionalFormatting sqref="B5:M40 B74:M79 B81:M97 B130:M135 B137:M148 B150:M159 B166:M192 B194:M215">
    <cfRule type="cellIs" dxfId="28" priority="12" operator="greaterThanOrEqual">
      <formula>0.7</formula>
    </cfRule>
  </conditionalFormatting>
  <conditionalFormatting sqref="B18:M21">
    <cfRule type="cellIs" dxfId="27" priority="13" operator="lessThan">
      <formula>0.7</formula>
    </cfRule>
  </conditionalFormatting>
  <conditionalFormatting sqref="B37:M40 B74:M79">
    <cfRule type="cellIs" dxfId="26" priority="14" operator="lessThan">
      <formula>0.7</formula>
    </cfRule>
  </conditionalFormatting>
  <conditionalFormatting sqref="B52:M55">
    <cfRule type="cellIs" dxfId="25" priority="15" operator="greaterThanOrEqual">
      <formula>0.7</formula>
    </cfRule>
    <cfRule type="cellIs" dxfId="24" priority="16" operator="lessThan">
      <formula>0.7</formula>
    </cfRule>
  </conditionalFormatting>
  <conditionalFormatting sqref="B94:M97 B130:M135">
    <cfRule type="cellIs" dxfId="23" priority="17" operator="lessThan">
      <formula>0.7</formula>
    </cfRule>
  </conditionalFormatting>
  <conditionalFormatting sqref="B107:M109">
    <cfRule type="cellIs" dxfId="22" priority="18" operator="greaterThanOrEqual">
      <formula>0.7</formula>
    </cfRule>
    <cfRule type="cellIs" dxfId="21" priority="19" operator="lessThan">
      <formula>0.7</formula>
    </cfRule>
  </conditionalFormatting>
  <conditionalFormatting sqref="B145:M148">
    <cfRule type="cellIs" dxfId="20" priority="20" operator="lessThan">
      <formula>0.7</formula>
    </cfRule>
  </conditionalFormatting>
  <conditionalFormatting sqref="B162:M163">
    <cfRule type="cellIs" dxfId="19" priority="21" operator="greaterThanOrEqual">
      <formula>0.7</formula>
    </cfRule>
    <cfRule type="cellIs" dxfId="18" priority="22" operator="lessThan">
      <formula>0.7</formula>
    </cfRule>
  </conditionalFormatting>
  <conditionalFormatting sqref="B212:M215">
    <cfRule type="cellIs" dxfId="17" priority="23" operator="lessThan">
      <formula>0.7</formula>
    </cfRule>
  </conditionalFormatting>
  <conditionalFormatting sqref="E190">
    <cfRule type="cellIs" dxfId="16" priority="24" operator="lessThan">
      <formula>0.7</formula>
    </cfRule>
  </conditionalFormatting>
  <conditionalFormatting sqref="E192">
    <cfRule type="cellIs" dxfId="15" priority="25" operator="lessThan">
      <formula>0.7</formula>
    </cfRule>
  </conditionalFormatting>
  <conditionalFormatting sqref="E189:M192">
    <cfRule type="cellIs" dxfId="14" priority="26" operator="lessThan">
      <formula>0.7</formula>
    </cfRule>
  </conditionalFormatting>
  <conditionalFormatting sqref="M189:M192">
    <cfRule type="cellIs" dxfId="13" priority="27" operator="lessThan">
      <formula>0.7</formula>
    </cfRule>
  </conditionalFormatting>
  <conditionalFormatting sqref="N18:Q22">
    <cfRule type="cellIs" dxfId="12" priority="28" operator="greaterThanOrEqual">
      <formula>0.7</formula>
    </cfRule>
    <cfRule type="cellIs" dxfId="11" priority="29" operator="lessThan">
      <formula>0.7</formula>
    </cfRule>
  </conditionalFormatting>
  <pageMargins left="0.7" right="0.7" top="0.75" bottom="0.75" header="0" footer="0"/>
  <pageSetup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2"/>
  <sheetViews>
    <sheetView tabSelected="1" topLeftCell="D1" workbookViewId="0">
      <selection activeCell="U3" sqref="U3"/>
    </sheetView>
  </sheetViews>
  <sheetFormatPr baseColWidth="10" defaultColWidth="14.42578125" defaultRowHeight="15" customHeight="1"/>
  <cols>
    <col min="1" max="1" width="56.140625" customWidth="1"/>
    <col min="2" max="4" width="16.7109375" customWidth="1"/>
    <col min="5" max="5" width="4.5703125" customWidth="1"/>
    <col min="6" max="6" width="11.5703125" customWidth="1"/>
    <col min="7" max="7" width="22.7109375" customWidth="1"/>
    <col min="8" max="8" width="20.7109375" customWidth="1"/>
    <col min="9" max="9" width="15.85546875" customWidth="1"/>
    <col min="10" max="10" width="13" customWidth="1"/>
    <col min="11" max="11" width="10.85546875" customWidth="1"/>
    <col min="12" max="12" width="9.140625" customWidth="1"/>
    <col min="13" max="13" width="8" customWidth="1"/>
    <col min="14" max="14" width="15.7109375" customWidth="1"/>
    <col min="15" max="15" width="13.5703125" customWidth="1"/>
    <col min="16" max="16" width="9" customWidth="1"/>
    <col min="17" max="17" width="8.7109375" customWidth="1"/>
    <col min="18" max="18" width="11.42578125" customWidth="1"/>
    <col min="19" max="19" width="15.28515625" customWidth="1"/>
    <col min="20" max="20" width="33.42578125" customWidth="1"/>
    <col min="21" max="21" width="15.5703125" customWidth="1"/>
    <col min="22" max="23" width="11.42578125" customWidth="1"/>
    <col min="24" max="24" width="17.140625" customWidth="1"/>
    <col min="25" max="25" width="19.140625" customWidth="1"/>
    <col min="26" max="26" width="20.7109375" customWidth="1"/>
    <col min="27" max="27" width="10.140625" customWidth="1"/>
    <col min="28" max="28" width="11.5703125" customWidth="1"/>
    <col min="29" max="29" width="18.140625" customWidth="1"/>
  </cols>
  <sheetData>
    <row r="1" spans="1:29" ht="95.25" customHeight="1">
      <c r="A1" s="71" t="s">
        <v>60</v>
      </c>
      <c r="B1" s="72" t="s">
        <v>61</v>
      </c>
      <c r="C1" s="72" t="s">
        <v>62</v>
      </c>
      <c r="D1" s="72" t="s">
        <v>63</v>
      </c>
      <c r="E1" s="73"/>
      <c r="F1" s="72" t="s">
        <v>64</v>
      </c>
      <c r="G1" s="72" t="s">
        <v>17</v>
      </c>
      <c r="H1" s="72" t="s">
        <v>65</v>
      </c>
      <c r="I1" s="72" t="s">
        <v>43</v>
      </c>
      <c r="J1" s="72" t="s">
        <v>66</v>
      </c>
      <c r="K1" s="72" t="s">
        <v>67</v>
      </c>
      <c r="L1" s="72" t="s">
        <v>68</v>
      </c>
      <c r="M1" s="74" t="s">
        <v>69</v>
      </c>
      <c r="N1" s="72" t="s">
        <v>70</v>
      </c>
      <c r="O1" s="72" t="s">
        <v>71</v>
      </c>
      <c r="P1" s="72" t="s">
        <v>72</v>
      </c>
      <c r="Q1" s="74" t="s">
        <v>73</v>
      </c>
      <c r="R1" s="72" t="s">
        <v>74</v>
      </c>
      <c r="S1" s="72" t="s">
        <v>75</v>
      </c>
      <c r="T1" s="72" t="s">
        <v>76</v>
      </c>
      <c r="U1" s="72" t="s">
        <v>77</v>
      </c>
      <c r="V1" s="75"/>
      <c r="W1" s="75"/>
      <c r="X1" s="75"/>
      <c r="Y1" s="75"/>
      <c r="Z1" s="75"/>
      <c r="AA1" s="75"/>
      <c r="AB1" s="75"/>
      <c r="AC1" s="75"/>
    </row>
    <row r="2" spans="1:29">
      <c r="A2" s="53" t="s">
        <v>78</v>
      </c>
      <c r="B2" s="76">
        <f>COUNTIFS(G:G,"HOSPITALIZACIÓN 2 ",S:S,"CUMPLE")</f>
        <v>2</v>
      </c>
      <c r="C2" s="76">
        <f>COUNTIFS(G:G,"HOSPITALIZACIÓN 2 ")</f>
        <v>2</v>
      </c>
      <c r="D2" s="77">
        <f>IFERROR(COUNTIFS(G:G,"HOSPITALIZACIÓN 2 ",S:S,"CUMPLE")/COUNTIFS(G:G,"HOSPITALIZACIÓN 2 "),0)</f>
        <v>1</v>
      </c>
      <c r="E2" s="73">
        <v>1</v>
      </c>
      <c r="F2" s="78">
        <v>46024</v>
      </c>
      <c r="G2" s="79" t="s">
        <v>33</v>
      </c>
      <c r="H2" s="79" t="s">
        <v>38</v>
      </c>
      <c r="I2" s="80" t="s">
        <v>44</v>
      </c>
      <c r="J2" s="81" t="s">
        <v>79</v>
      </c>
      <c r="K2" s="79" t="s">
        <v>80</v>
      </c>
      <c r="L2" s="79" t="s">
        <v>79</v>
      </c>
      <c r="M2" s="79" t="s">
        <v>79</v>
      </c>
      <c r="N2" s="79" t="s">
        <v>81</v>
      </c>
      <c r="O2" s="79" t="s">
        <v>79</v>
      </c>
      <c r="P2" s="79" t="s">
        <v>79</v>
      </c>
      <c r="Q2" s="79" t="s">
        <v>79</v>
      </c>
      <c r="R2" s="79" t="s">
        <v>79</v>
      </c>
      <c r="S2" s="82" t="str">
        <f t="shared" ref="S2:S4" si="0">IF(I2="CONTACTO",IF(COUNTIF(J2,"NO")+COUNTIF(K2,"SI")+COUNTIF(L2,"NO")+COUNTIF(M2,"NO")+COUNTIF(R2,"NO")=0,"CUMPLE","NO CUMPLE"),IF(I2="VIA AEREA",IF(COUNTIF(K2,"SI")+COUNTIF(L2,"NO")+(COUNTIF(N2,"ALTA EFICIENCIA")-1)+COUNTIF(R2,"NO")=0,"CUMPLE","NO CUMPLE"),IF(I2="VIA AEREA",IF(COUNTIF(J2,"NO")+COUNTIF(K2,"SI")+COUNTIF(L2,"NO")+(COUNTIF(N2,"ALTA EFICIENCIA")-1)+COUNTIF(R2,"NO")=0,"CUMPLE","NO CUMPLE"),IF(I2="GOTAS",IF(COUNTIF(J2,"NO")+COUNTIF(K2,"SI")+COUNTIF(L2,"NO")+(COUNTIF(N2,"ALTA EFICIENCIA")-1)+COUNTIF(R2,"NO")=0,"CUMPLE","NO CUMPLE"),IF(I2="COHORTIZACIÓN",IF(COUNTIF(J2,"NO")+COUNTIF(K2,"SI")+COUNTIF(L2,"NO")+COUNTIF(M2,"NO")+(COUNTIF(N2,"QUIRURGICO")-1)+COUNTIF(M32,"NA")+COUNTIF(O2,"NO")+COUNTIF(P2,"NO")+COUNTIF(Q2,"NO")+COUNTIF(R2,"NO")=0,"CUMPLE","NO CUMPLE"))))))</f>
        <v>CUMPLE</v>
      </c>
      <c r="T2" s="83" t="s">
        <v>82</v>
      </c>
      <c r="U2" s="84">
        <v>814</v>
      </c>
      <c r="V2" s="24"/>
      <c r="W2" s="24"/>
      <c r="X2" s="60" t="s">
        <v>17</v>
      </c>
      <c r="Y2" s="60" t="s">
        <v>65</v>
      </c>
      <c r="Z2" s="60" t="s">
        <v>43</v>
      </c>
      <c r="AA2" s="60" t="s">
        <v>83</v>
      </c>
      <c r="AB2" s="60" t="s">
        <v>84</v>
      </c>
      <c r="AC2" s="60" t="s">
        <v>70</v>
      </c>
    </row>
    <row r="3" spans="1:29">
      <c r="A3" s="53" t="s">
        <v>85</v>
      </c>
      <c r="B3" s="76">
        <f>COUNTIFS(G:G,"HOSPITALIZACIÓN",S:S,"CUMPLE")</f>
        <v>15</v>
      </c>
      <c r="C3" s="76">
        <f>COUNTIFS(G:G,"HOSPITALIZACIÓN")</f>
        <v>18</v>
      </c>
      <c r="D3" s="77">
        <f>IFERROR(COUNTIFS(G:G,"HOSPITALIZACIÓN",S:S,"CUMPLE")/COUNTIFS(G:G,"HOSPITALIZACIÓN"),0)</f>
        <v>0.83333333333333337</v>
      </c>
      <c r="E3" s="73">
        <v>2</v>
      </c>
      <c r="F3" s="78">
        <v>46027</v>
      </c>
      <c r="G3" s="79" t="s">
        <v>33</v>
      </c>
      <c r="H3" s="79" t="s">
        <v>38</v>
      </c>
      <c r="I3" s="80" t="s">
        <v>45</v>
      </c>
      <c r="J3" s="81" t="s">
        <v>79</v>
      </c>
      <c r="K3" s="79" t="s">
        <v>80</v>
      </c>
      <c r="L3" s="79" t="s">
        <v>79</v>
      </c>
      <c r="M3" s="79" t="s">
        <v>79</v>
      </c>
      <c r="N3" s="79" t="s">
        <v>81</v>
      </c>
      <c r="O3" s="79" t="s">
        <v>79</v>
      </c>
      <c r="P3" s="79" t="s">
        <v>79</v>
      </c>
      <c r="Q3" s="79" t="s">
        <v>79</v>
      </c>
      <c r="R3" s="79" t="s">
        <v>79</v>
      </c>
      <c r="S3" s="82" t="str">
        <f t="shared" si="0"/>
        <v>CUMPLE</v>
      </c>
      <c r="T3" s="83" t="s">
        <v>86</v>
      </c>
      <c r="U3" s="84"/>
      <c r="V3" s="24"/>
      <c r="W3" s="24"/>
      <c r="X3" s="61"/>
      <c r="Y3" s="61"/>
      <c r="Z3" s="61"/>
      <c r="AA3" s="61"/>
      <c r="AB3" s="61"/>
      <c r="AC3" s="82"/>
    </row>
    <row r="4" spans="1:29">
      <c r="A4" s="85" t="s">
        <v>87</v>
      </c>
      <c r="B4" s="86">
        <f>COUNTIFS(G:G,"UCI",S:S,"CUMPLE")</f>
        <v>8</v>
      </c>
      <c r="C4" s="86">
        <f>COUNTIFS(G:G,"UCI")</f>
        <v>9</v>
      </c>
      <c r="D4" s="87">
        <f>IFERROR(COUNTIFS(G:G,"UCI",S:S,"CUMPLE")/COUNTIFS(G:G,"UCI"),0)</f>
        <v>0.88888888888888884</v>
      </c>
      <c r="E4" s="73">
        <v>3</v>
      </c>
      <c r="F4" s="78">
        <v>46028</v>
      </c>
      <c r="G4" s="79" t="s">
        <v>33</v>
      </c>
      <c r="H4" s="79" t="s">
        <v>38</v>
      </c>
      <c r="I4" s="80" t="s">
        <v>47</v>
      </c>
      <c r="J4" s="81" t="s">
        <v>79</v>
      </c>
      <c r="K4" s="79" t="s">
        <v>80</v>
      </c>
      <c r="L4" s="79" t="s">
        <v>79</v>
      </c>
      <c r="M4" s="79" t="s">
        <v>88</v>
      </c>
      <c r="N4" s="79" t="s">
        <v>89</v>
      </c>
      <c r="O4" s="79" t="s">
        <v>80</v>
      </c>
      <c r="P4" s="79" t="s">
        <v>80</v>
      </c>
      <c r="Q4" s="79" t="s">
        <v>88</v>
      </c>
      <c r="R4" s="79" t="s">
        <v>79</v>
      </c>
      <c r="S4" s="82" t="str">
        <f t="shared" si="0"/>
        <v>CUMPLE</v>
      </c>
      <c r="T4" s="83" t="s">
        <v>90</v>
      </c>
      <c r="U4" s="83">
        <v>825</v>
      </c>
      <c r="V4" s="24"/>
      <c r="W4" s="24"/>
      <c r="X4" s="61"/>
      <c r="Y4" s="61"/>
      <c r="Z4" s="61"/>
      <c r="AA4" s="61"/>
      <c r="AB4" s="61"/>
      <c r="AC4" s="82"/>
    </row>
    <row r="5" spans="1:29">
      <c r="A5" s="85" t="s">
        <v>91</v>
      </c>
      <c r="B5" s="86">
        <f>COUNTIFS(G:G,"URGENCIAS",S:S,"CUMPLE")</f>
        <v>9</v>
      </c>
      <c r="C5" s="86">
        <f>COUNTIFS(G:G,"URGENCIAS")</f>
        <v>11</v>
      </c>
      <c r="D5" s="87">
        <f>IFERROR(COUNTIFS(G:G,"URGENCIAS",S:S,"CUMPLE")/COUNTIFS(G:G,"URGENCIAS"),0)</f>
        <v>0.81818181818181823</v>
      </c>
      <c r="E5" s="73">
        <v>4</v>
      </c>
      <c r="F5" s="78">
        <v>46028</v>
      </c>
      <c r="G5" s="79" t="s">
        <v>33</v>
      </c>
      <c r="H5" s="79" t="s">
        <v>38</v>
      </c>
      <c r="I5" s="80" t="s">
        <v>45</v>
      </c>
      <c r="J5" s="81" t="s">
        <v>79</v>
      </c>
      <c r="K5" s="79" t="s">
        <v>80</v>
      </c>
      <c r="L5" s="79" t="s">
        <v>79</v>
      </c>
      <c r="M5" s="79" t="s">
        <v>80</v>
      </c>
      <c r="N5" s="79" t="s">
        <v>80</v>
      </c>
      <c r="O5" s="79" t="s">
        <v>80</v>
      </c>
      <c r="P5" s="79" t="s">
        <v>80</v>
      </c>
      <c r="Q5" s="79" t="s">
        <v>80</v>
      </c>
      <c r="R5" s="79" t="s">
        <v>79</v>
      </c>
      <c r="S5" s="88" t="s">
        <v>92</v>
      </c>
      <c r="T5" s="83" t="s">
        <v>82</v>
      </c>
      <c r="U5" s="83">
        <v>827</v>
      </c>
      <c r="V5" s="24"/>
      <c r="W5" s="24"/>
      <c r="X5" s="82"/>
      <c r="Y5" s="61"/>
      <c r="Z5" s="61"/>
      <c r="AA5" s="61"/>
      <c r="AB5" s="61"/>
      <c r="AC5" s="82"/>
    </row>
    <row r="6" spans="1:29">
      <c r="A6" s="89" t="s">
        <v>93</v>
      </c>
      <c r="B6" s="86">
        <f t="shared" ref="B6:C6" si="1">SUM(B2:B5)</f>
        <v>34</v>
      </c>
      <c r="C6" s="86">
        <f t="shared" si="1"/>
        <v>40</v>
      </c>
      <c r="D6" s="90">
        <f>B6/C6</f>
        <v>0.85</v>
      </c>
      <c r="E6" s="73">
        <v>5</v>
      </c>
      <c r="F6" s="78">
        <v>46028</v>
      </c>
      <c r="G6" s="91" t="s">
        <v>32</v>
      </c>
      <c r="H6" s="79" t="s">
        <v>39</v>
      </c>
      <c r="I6" s="80" t="s">
        <v>45</v>
      </c>
      <c r="J6" s="81" t="s">
        <v>79</v>
      </c>
      <c r="K6" s="79" t="s">
        <v>80</v>
      </c>
      <c r="L6" s="79" t="s">
        <v>79</v>
      </c>
      <c r="M6" s="79" t="s">
        <v>79</v>
      </c>
      <c r="N6" s="79" t="s">
        <v>81</v>
      </c>
      <c r="O6" s="79" t="s">
        <v>80</v>
      </c>
      <c r="P6" s="79" t="s">
        <v>79</v>
      </c>
      <c r="Q6" s="79" t="s">
        <v>79</v>
      </c>
      <c r="R6" s="79" t="s">
        <v>79</v>
      </c>
      <c r="S6" s="82" t="str">
        <f t="shared" ref="S6:S10" si="2">IF(I6="CONTACTO",IF(COUNTIF(J6,"NO")+COUNTIF(K6,"SI")+COUNTIF(L6,"NO")+COUNTIF(M6,"NO")+COUNTIF(R6,"NO")=0,"CUMPLE","NO CUMPLE"),IF(I6="VIA AEREA",IF(COUNTIF(K6,"SI")+COUNTIF(L6,"NO")+(COUNTIF(N6,"ALTA EFICIENCIA")-1)+COUNTIF(R6,"NO")=0,"CUMPLE","NO CUMPLE"),IF(I6="VIA AEREA",IF(COUNTIF(J6,"NO")+COUNTIF(K6,"SI")+COUNTIF(L6,"NO")+(COUNTIF(N6,"ALTA EFICIENCIA")-1)+COUNTIF(R6,"NO")=0,"CUMPLE","NO CUMPLE"),IF(I6="GOTAS",IF(COUNTIF(J6,"NO")+COUNTIF(K6,"SI")+COUNTIF(L6,"NO")+(COUNTIF(N6,"ALTA EFICIENCIA")-1)+COUNTIF(R6,"NO")=0,"CUMPLE","NO CUMPLE"),IF(I6="COHORTIZACIÓN",IF(COUNTIF(J6,"NO")+COUNTIF(K6,"SI")+COUNTIF(L6,"NO")+COUNTIF(M6,"NO")+(COUNTIF(N6,"QUIRURGICO")-1)+COUNTIF(M36,"NA")+COUNTIF(O6,"NO")+COUNTIF(P6,"NO")+COUNTIF(Q6,"NO")+COUNTIF(R6,"NO")=0,"CUMPLE","NO CUMPLE"))))))</f>
        <v>CUMPLE</v>
      </c>
      <c r="T6" s="83" t="s">
        <v>94</v>
      </c>
      <c r="U6" s="83"/>
      <c r="V6" s="24"/>
      <c r="W6" s="24"/>
      <c r="X6" s="61"/>
      <c r="Y6" s="61"/>
      <c r="Z6" s="61"/>
      <c r="AA6" s="61"/>
      <c r="AB6" s="61"/>
      <c r="AC6" s="82"/>
    </row>
    <row r="7" spans="1:29">
      <c r="A7" s="92"/>
      <c r="B7" s="92"/>
      <c r="C7" s="92"/>
      <c r="D7" s="93"/>
      <c r="E7" s="73">
        <v>6</v>
      </c>
      <c r="F7" s="78">
        <v>46028</v>
      </c>
      <c r="G7" s="91" t="s">
        <v>34</v>
      </c>
      <c r="H7" s="79" t="s">
        <v>38</v>
      </c>
      <c r="I7" s="80" t="s">
        <v>45</v>
      </c>
      <c r="J7" s="81" t="s">
        <v>79</v>
      </c>
      <c r="K7" s="79" t="s">
        <v>80</v>
      </c>
      <c r="L7" s="79" t="s">
        <v>79</v>
      </c>
      <c r="M7" s="79" t="s">
        <v>79</v>
      </c>
      <c r="N7" s="79" t="s">
        <v>81</v>
      </c>
      <c r="O7" s="79" t="s">
        <v>80</v>
      </c>
      <c r="P7" s="79" t="s">
        <v>79</v>
      </c>
      <c r="Q7" s="79" t="s">
        <v>79</v>
      </c>
      <c r="R7" s="79" t="s">
        <v>79</v>
      </c>
      <c r="S7" s="82" t="str">
        <f t="shared" si="2"/>
        <v>CUMPLE</v>
      </c>
      <c r="T7" s="84" t="s">
        <v>95</v>
      </c>
      <c r="U7" s="84"/>
      <c r="V7" s="24"/>
      <c r="W7" s="24"/>
      <c r="X7" s="61"/>
      <c r="Y7" s="61"/>
      <c r="Z7" s="61"/>
      <c r="AA7" s="82"/>
      <c r="AB7" s="61"/>
      <c r="AC7" s="82"/>
    </row>
    <row r="8" spans="1:29">
      <c r="A8" s="137" t="s">
        <v>96</v>
      </c>
      <c r="B8" s="138"/>
      <c r="C8" s="138"/>
      <c r="D8" s="139"/>
      <c r="E8" s="73">
        <v>7</v>
      </c>
      <c r="F8" s="78">
        <v>46029</v>
      </c>
      <c r="G8" s="91" t="s">
        <v>34</v>
      </c>
      <c r="H8" s="79" t="s">
        <v>38</v>
      </c>
      <c r="I8" s="80" t="s">
        <v>47</v>
      </c>
      <c r="J8" s="81" t="s">
        <v>79</v>
      </c>
      <c r="K8" s="79" t="s">
        <v>80</v>
      </c>
      <c r="L8" s="79" t="s">
        <v>79</v>
      </c>
      <c r="M8" s="79" t="s">
        <v>88</v>
      </c>
      <c r="N8" s="79" t="s">
        <v>89</v>
      </c>
      <c r="O8" s="79" t="s">
        <v>80</v>
      </c>
      <c r="P8" s="79" t="s">
        <v>80</v>
      </c>
      <c r="Q8" s="79" t="s">
        <v>88</v>
      </c>
      <c r="R8" s="79" t="s">
        <v>79</v>
      </c>
      <c r="S8" s="82" t="str">
        <f t="shared" si="2"/>
        <v>CUMPLE</v>
      </c>
      <c r="T8" s="83" t="s">
        <v>97</v>
      </c>
      <c r="U8" s="94" t="s">
        <v>98</v>
      </c>
      <c r="V8" s="24"/>
      <c r="W8" s="24"/>
      <c r="X8" s="61"/>
      <c r="Y8" s="61"/>
      <c r="Z8" s="82"/>
      <c r="AA8" s="82"/>
      <c r="AB8" s="61"/>
      <c r="AC8" s="82"/>
    </row>
    <row r="9" spans="1:29">
      <c r="A9" s="70" t="s">
        <v>38</v>
      </c>
      <c r="B9" s="82">
        <f>COUNTIFS(H:H,"AUXILIAR",S:S,"CUMPLE")</f>
        <v>19</v>
      </c>
      <c r="C9" s="82">
        <f>COUNTIFS(H:H,"AUXILIAR")</f>
        <v>22</v>
      </c>
      <c r="D9" s="6">
        <f>IFERROR(COUNTIFS(H:H,"AUXILIAR",S:S,"CUMPLE")/COUNTIFS(H:H,"AUXILIAR"),0)</f>
        <v>0.86363636363636365</v>
      </c>
      <c r="E9" s="73">
        <v>8</v>
      </c>
      <c r="F9" s="78">
        <v>46030</v>
      </c>
      <c r="G9" s="79" t="s">
        <v>33</v>
      </c>
      <c r="H9" s="79" t="s">
        <v>40</v>
      </c>
      <c r="I9" s="80" t="s">
        <v>45</v>
      </c>
      <c r="J9" s="81" t="s">
        <v>79</v>
      </c>
      <c r="K9" s="79" t="s">
        <v>80</v>
      </c>
      <c r="L9" s="79" t="s">
        <v>79</v>
      </c>
      <c r="M9" s="79" t="s">
        <v>79</v>
      </c>
      <c r="N9" s="79" t="s">
        <v>81</v>
      </c>
      <c r="O9" s="79" t="s">
        <v>80</v>
      </c>
      <c r="P9" s="79" t="s">
        <v>79</v>
      </c>
      <c r="Q9" s="79" t="s">
        <v>79</v>
      </c>
      <c r="R9" s="79" t="s">
        <v>79</v>
      </c>
      <c r="S9" s="82" t="str">
        <f t="shared" si="2"/>
        <v>CUMPLE</v>
      </c>
      <c r="T9" s="83" t="s">
        <v>99</v>
      </c>
      <c r="U9" s="83">
        <v>812</v>
      </c>
      <c r="V9" s="24"/>
      <c r="W9" s="24"/>
      <c r="X9" s="61"/>
      <c r="Y9" s="61"/>
      <c r="Z9" s="61"/>
      <c r="AA9" s="61"/>
      <c r="AB9" s="61"/>
      <c r="AC9" s="61"/>
    </row>
    <row r="10" spans="1:29">
      <c r="A10" s="70" t="s">
        <v>39</v>
      </c>
      <c r="B10" s="82">
        <f>COUNTIFS(H:H,"ENFERMERA (O)",S:S,"CUMPLE")</f>
        <v>2</v>
      </c>
      <c r="C10" s="82">
        <f>COUNTIFS(H:H,"ENFERMERA (O)")</f>
        <v>2</v>
      </c>
      <c r="D10" s="6">
        <f>IFERROR(COUNTIFS(H:H,"ENFERMERA (O)",S:S,"CUMPLE")/COUNTIFS(H:H,"ENFERMERA (O)"),0)</f>
        <v>1</v>
      </c>
      <c r="E10" s="73">
        <v>9</v>
      </c>
      <c r="F10" s="78">
        <v>45665</v>
      </c>
      <c r="G10" s="79" t="s">
        <v>34</v>
      </c>
      <c r="H10" s="79" t="s">
        <v>38</v>
      </c>
      <c r="I10" s="80" t="s">
        <v>45</v>
      </c>
      <c r="J10" s="81" t="s">
        <v>79</v>
      </c>
      <c r="K10" s="79" t="s">
        <v>80</v>
      </c>
      <c r="L10" s="79" t="s">
        <v>79</v>
      </c>
      <c r="M10" s="79" t="s">
        <v>79</v>
      </c>
      <c r="N10" s="79" t="s">
        <v>81</v>
      </c>
      <c r="O10" s="79" t="s">
        <v>79</v>
      </c>
      <c r="P10" s="79" t="s">
        <v>79</v>
      </c>
      <c r="Q10" s="79" t="s">
        <v>79</v>
      </c>
      <c r="R10" s="79" t="s">
        <v>79</v>
      </c>
      <c r="S10" s="82" t="str">
        <f t="shared" si="2"/>
        <v>CUMPLE</v>
      </c>
      <c r="T10" s="83" t="s">
        <v>100</v>
      </c>
      <c r="U10" s="83"/>
      <c r="V10" s="24"/>
      <c r="W10" s="24"/>
      <c r="X10" s="61"/>
      <c r="Y10" s="61"/>
      <c r="Z10" s="61"/>
      <c r="AA10" s="61"/>
      <c r="AB10" s="61"/>
      <c r="AC10" s="61"/>
    </row>
    <row r="11" spans="1:29">
      <c r="A11" s="70" t="s">
        <v>40</v>
      </c>
      <c r="B11" s="82">
        <f>COUNTIFS(H:H,"MEDICO",S:S,"CUMPLE")</f>
        <v>6</v>
      </c>
      <c r="C11" s="82">
        <f>COUNTIFS(H:H,"MEDICO")</f>
        <v>7</v>
      </c>
      <c r="D11" s="6">
        <f>IFERROR(COUNTIFS(H:H,"MEDICO",S:S,"CUMPLE")/COUNTIFS(H:H,"MEDICO"),0)</f>
        <v>0.8571428571428571</v>
      </c>
      <c r="E11" s="73"/>
      <c r="F11" s="78"/>
      <c r="G11" s="79"/>
      <c r="H11" s="79"/>
      <c r="I11" s="80"/>
      <c r="J11" s="81"/>
      <c r="K11" s="79"/>
      <c r="L11" s="79"/>
      <c r="M11" s="79"/>
      <c r="N11" s="79"/>
      <c r="O11" s="79"/>
      <c r="P11" s="79"/>
      <c r="Q11" s="79"/>
      <c r="R11" s="79"/>
      <c r="S11" s="82"/>
      <c r="T11" s="83"/>
      <c r="U11" s="83"/>
      <c r="V11" s="24"/>
      <c r="W11" s="24"/>
      <c r="X11" s="82"/>
      <c r="Y11" s="61"/>
      <c r="Z11" s="61"/>
      <c r="AA11" s="61"/>
      <c r="AB11" s="61"/>
      <c r="AC11" s="61"/>
    </row>
    <row r="12" spans="1:29">
      <c r="A12" s="95" t="s">
        <v>101</v>
      </c>
      <c r="B12" s="82">
        <f>COUNTIFS(H:H,"MEDICO ESP",S:S,"CUMPLE")</f>
        <v>3</v>
      </c>
      <c r="C12" s="82">
        <f>COUNTIFS(H:H,"MEDICO ESP")</f>
        <v>4</v>
      </c>
      <c r="D12" s="6">
        <f>IFERROR(COUNTIFS(H:H,"MEDICO ESP",S:S,"CUMPLE")/COUNTIFS(H:H,"MEDICO ESP"),0)</f>
        <v>0.75</v>
      </c>
      <c r="E12" s="73">
        <v>10</v>
      </c>
      <c r="F12" s="78">
        <v>46030</v>
      </c>
      <c r="G12" s="79" t="s">
        <v>34</v>
      </c>
      <c r="H12" s="79" t="s">
        <v>38</v>
      </c>
      <c r="I12" s="80" t="s">
        <v>44</v>
      </c>
      <c r="J12" s="81" t="s">
        <v>79</v>
      </c>
      <c r="K12" s="79" t="s">
        <v>80</v>
      </c>
      <c r="L12" s="79" t="s">
        <v>79</v>
      </c>
      <c r="M12" s="79" t="s">
        <v>79</v>
      </c>
      <c r="N12" s="79" t="s">
        <v>81</v>
      </c>
      <c r="O12" s="79" t="s">
        <v>79</v>
      </c>
      <c r="P12" s="79" t="s">
        <v>80</v>
      </c>
      <c r="Q12" s="79" t="s">
        <v>79</v>
      </c>
      <c r="R12" s="79" t="s">
        <v>79</v>
      </c>
      <c r="S12" s="82" t="str">
        <f t="shared" ref="S12:S35" si="3">IF(I12="CONTACTO",IF(COUNTIF(J12,"NO")+COUNTIF(K12,"SI")+COUNTIF(L12,"NO")+COUNTIF(M12,"NO")+COUNTIF(R12,"NO")=0,"CUMPLE","NO CUMPLE"),IF(I12="VIA AEREA",IF(COUNTIF(K12,"SI")+COUNTIF(L12,"NO")+(COUNTIF(N12,"ALTA EFICIENCIA")-1)+COUNTIF(R12,"NO")=0,"CUMPLE","NO CUMPLE"),IF(I12="VIA AEREA",IF(COUNTIF(J12,"NO")+COUNTIF(K12,"SI")+COUNTIF(L12,"NO")+(COUNTIF(N12,"ALTA EFICIENCIA")-1)+COUNTIF(R12,"NO")=0,"CUMPLE","NO CUMPLE"),IF(I12="GOTAS",IF(COUNTIF(J12,"NO")+COUNTIF(K12,"SI")+COUNTIF(L12,"NO")+(COUNTIF(N12,"ALTA EFICIENCIA")-1)+COUNTIF(R12,"NO")=0,"CUMPLE","NO CUMPLE"),IF(I12="COHORTIZACIÓN",IF(COUNTIF(J12,"NO")+COUNTIF(K12,"SI")+COUNTIF(L12,"NO")+COUNTIF(M12,"NO")+(COUNTIF(N12,"QUIRURGICO")-1)+COUNTIF(M41,"NA")+COUNTIF(O12,"NO")+COUNTIF(P12,"NO")+COUNTIF(Q12,"NO")+COUNTIF(R12,"NO")=0,"CUMPLE","NO CUMPLE"))))))</f>
        <v>NO CUMPLE</v>
      </c>
      <c r="T12" s="83" t="s">
        <v>102</v>
      </c>
      <c r="U12" s="83"/>
      <c r="V12" s="24"/>
      <c r="W12" s="24"/>
      <c r="X12" s="82"/>
      <c r="Y12" s="61"/>
      <c r="Z12" s="61"/>
      <c r="AA12" s="61"/>
      <c r="AB12" s="61"/>
      <c r="AC12" s="61"/>
    </row>
    <row r="13" spans="1:29">
      <c r="A13" s="95" t="s">
        <v>55</v>
      </c>
      <c r="B13" s="82">
        <f>COUNTIFS(H:H,"FISIOTERAPEUTA",S:S,"CUMPLE")</f>
        <v>0</v>
      </c>
      <c r="C13" s="82">
        <f>COUNTIFS(H:H,"FISIOTERAPEUTA")</f>
        <v>0</v>
      </c>
      <c r="D13" s="6">
        <f>IFERROR(COUNTIFS(H:H,"FISIOTERAPEUTA",S:S,"CUMPLE")/COUNTIFS(H:H,"FISIOTERAPEUTA"),0)</f>
        <v>0</v>
      </c>
      <c r="E13" s="73">
        <v>11</v>
      </c>
      <c r="F13" s="96">
        <v>46030</v>
      </c>
      <c r="G13" s="79" t="s">
        <v>34</v>
      </c>
      <c r="H13" s="79" t="s">
        <v>38</v>
      </c>
      <c r="I13" s="80" t="s">
        <v>45</v>
      </c>
      <c r="J13" s="81" t="s">
        <v>79</v>
      </c>
      <c r="K13" s="79" t="s">
        <v>80</v>
      </c>
      <c r="L13" s="79" t="s">
        <v>79</v>
      </c>
      <c r="M13" s="79" t="s">
        <v>79</v>
      </c>
      <c r="N13" s="79" t="s">
        <v>81</v>
      </c>
      <c r="O13" s="79" t="s">
        <v>79</v>
      </c>
      <c r="P13" s="79" t="s">
        <v>79</v>
      </c>
      <c r="Q13" s="79" t="s">
        <v>79</v>
      </c>
      <c r="R13" s="79" t="s">
        <v>79</v>
      </c>
      <c r="S13" s="82" t="str">
        <f t="shared" si="3"/>
        <v>CUMPLE</v>
      </c>
      <c r="T13" s="83" t="s">
        <v>103</v>
      </c>
      <c r="U13" s="83"/>
      <c r="V13" s="24"/>
      <c r="W13" s="24"/>
      <c r="X13" s="61"/>
      <c r="Y13" s="61"/>
      <c r="Z13" s="82"/>
      <c r="AA13" s="82"/>
      <c r="AB13" s="61"/>
      <c r="AC13" s="82"/>
    </row>
    <row r="14" spans="1:29">
      <c r="A14" s="97"/>
      <c r="B14" s="26"/>
      <c r="C14" s="26"/>
      <c r="D14" s="98"/>
      <c r="E14" s="73">
        <v>12</v>
      </c>
      <c r="F14" s="96">
        <v>45666</v>
      </c>
      <c r="G14" s="79" t="s">
        <v>35</v>
      </c>
      <c r="H14" s="79" t="s">
        <v>38</v>
      </c>
      <c r="I14" s="80" t="s">
        <v>47</v>
      </c>
      <c r="J14" s="81" t="s">
        <v>79</v>
      </c>
      <c r="K14" s="79" t="s">
        <v>80</v>
      </c>
      <c r="L14" s="79" t="s">
        <v>79</v>
      </c>
      <c r="M14" s="79" t="s">
        <v>88</v>
      </c>
      <c r="N14" s="79" t="s">
        <v>89</v>
      </c>
      <c r="O14" s="79" t="s">
        <v>80</v>
      </c>
      <c r="P14" s="79" t="s">
        <v>80</v>
      </c>
      <c r="Q14" s="79" t="s">
        <v>88</v>
      </c>
      <c r="R14" s="79" t="s">
        <v>79</v>
      </c>
      <c r="S14" s="82" t="str">
        <f t="shared" si="3"/>
        <v>CUMPLE</v>
      </c>
      <c r="T14" s="83" t="s">
        <v>104</v>
      </c>
      <c r="U14" s="83"/>
      <c r="V14" s="24"/>
      <c r="W14" s="24"/>
      <c r="X14" s="61"/>
      <c r="Y14" s="61"/>
      <c r="Z14" s="82"/>
      <c r="AA14" s="82"/>
      <c r="AB14" s="61"/>
      <c r="AC14" s="82"/>
    </row>
    <row r="15" spans="1:29">
      <c r="A15" s="140" t="s">
        <v>105</v>
      </c>
      <c r="B15" s="141"/>
      <c r="C15" s="141"/>
      <c r="D15" s="142"/>
      <c r="E15" s="73">
        <v>13</v>
      </c>
      <c r="F15" s="96">
        <v>46035</v>
      </c>
      <c r="G15" s="79" t="s">
        <v>33</v>
      </c>
      <c r="H15" s="79" t="s">
        <v>38</v>
      </c>
      <c r="I15" s="80" t="s">
        <v>45</v>
      </c>
      <c r="J15" s="81" t="s">
        <v>79</v>
      </c>
      <c r="K15" s="79" t="s">
        <v>80</v>
      </c>
      <c r="L15" s="79" t="s">
        <v>79</v>
      </c>
      <c r="M15" s="79" t="s">
        <v>79</v>
      </c>
      <c r="N15" s="79" t="s">
        <v>81</v>
      </c>
      <c r="O15" s="79" t="s">
        <v>79</v>
      </c>
      <c r="P15" s="79" t="s">
        <v>79</v>
      </c>
      <c r="Q15" s="79" t="s">
        <v>79</v>
      </c>
      <c r="R15" s="79" t="s">
        <v>79</v>
      </c>
      <c r="S15" s="82" t="str">
        <f t="shared" si="3"/>
        <v>CUMPLE</v>
      </c>
      <c r="T15" s="83" t="s">
        <v>106</v>
      </c>
      <c r="U15" s="83">
        <v>815</v>
      </c>
      <c r="V15" s="24"/>
      <c r="W15" s="24"/>
      <c r="X15" s="61"/>
      <c r="Y15" s="61"/>
      <c r="Z15" s="61"/>
      <c r="AA15" s="61"/>
      <c r="AB15" s="61"/>
      <c r="AC15" s="61"/>
    </row>
    <row r="16" spans="1:29">
      <c r="A16" s="99" t="s">
        <v>44</v>
      </c>
      <c r="B16" s="82">
        <f>COUNTIFS(G:G,"HOSPITALIZACIÓN",I:I,"COHORTIZACIÓN",S:S,"CUMPLE")</f>
        <v>5</v>
      </c>
      <c r="C16" s="82">
        <f>COUNTIFS(G:G,"HOSPITALIZACIÓN",I:I,"COHORTIZACIÓN")</f>
        <v>7</v>
      </c>
      <c r="D16" s="100">
        <f>IFERROR(COUNTIFS(G:G,"HOSPITALIZACIÓN",I:I,"COHORTIZACIÓN",S:S,"CUMPLE")/COUNTIFS(G:G,"HOSPITALIZACIÓN",I:I,"COHORTIZACIÓN"),0)</f>
        <v>0.7142857142857143</v>
      </c>
      <c r="E16" s="73">
        <v>14</v>
      </c>
      <c r="F16" s="96">
        <v>46036</v>
      </c>
      <c r="G16" s="79" t="s">
        <v>32</v>
      </c>
      <c r="H16" s="79" t="s">
        <v>38</v>
      </c>
      <c r="I16" s="80" t="s">
        <v>45</v>
      </c>
      <c r="J16" s="81" t="s">
        <v>79</v>
      </c>
      <c r="K16" s="79" t="s">
        <v>80</v>
      </c>
      <c r="L16" s="79" t="s">
        <v>79</v>
      </c>
      <c r="M16" s="79" t="s">
        <v>79</v>
      </c>
      <c r="N16" s="79" t="s">
        <v>81</v>
      </c>
      <c r="O16" s="79" t="s">
        <v>79</v>
      </c>
      <c r="P16" s="79" t="s">
        <v>79</v>
      </c>
      <c r="Q16" s="79" t="s">
        <v>79</v>
      </c>
      <c r="R16" s="79" t="s">
        <v>79</v>
      </c>
      <c r="S16" s="82" t="str">
        <f t="shared" si="3"/>
        <v>CUMPLE</v>
      </c>
      <c r="T16" s="83" t="s">
        <v>107</v>
      </c>
      <c r="U16" s="83"/>
      <c r="V16" s="24"/>
      <c r="W16" s="24"/>
      <c r="X16" s="61"/>
      <c r="Y16" s="61"/>
      <c r="Z16" s="61"/>
      <c r="AA16" s="61"/>
      <c r="AB16" s="61"/>
      <c r="AC16" s="61"/>
    </row>
    <row r="17" spans="1:29">
      <c r="A17" s="101" t="s">
        <v>45</v>
      </c>
      <c r="B17" s="82">
        <f>COUNTIFS(G:G,"HOSPITALIZACIÓN",I:I,"CONTACTO",S:S,"CUMPLE")</f>
        <v>8</v>
      </c>
      <c r="C17" s="82">
        <f>COUNTIFS(G:G,"HOSPITALIZACIÓN",I:I,"CONTACTO")</f>
        <v>9</v>
      </c>
      <c r="D17" s="100">
        <f>IFERROR(COUNTIFS(G:G,"HOSPITALIZACIÓN",I:I,"CONTACTO",S:S,"CUMPLE")/COUNTIFS(G:G,"HOSPITALIZACIÓN",I:I,"CONTACTO"),0)</f>
        <v>0.88888888888888884</v>
      </c>
      <c r="E17" s="73">
        <v>15</v>
      </c>
      <c r="F17" s="96">
        <v>46036</v>
      </c>
      <c r="G17" s="79" t="s">
        <v>33</v>
      </c>
      <c r="H17" s="79" t="s">
        <v>39</v>
      </c>
      <c r="I17" s="80" t="s">
        <v>45</v>
      </c>
      <c r="J17" s="81" t="s">
        <v>79</v>
      </c>
      <c r="K17" s="79" t="s">
        <v>80</v>
      </c>
      <c r="L17" s="79" t="s">
        <v>79</v>
      </c>
      <c r="M17" s="79" t="s">
        <v>79</v>
      </c>
      <c r="N17" s="79" t="s">
        <v>81</v>
      </c>
      <c r="O17" s="79" t="s">
        <v>80</v>
      </c>
      <c r="P17" s="79" t="s">
        <v>79</v>
      </c>
      <c r="Q17" s="79" t="s">
        <v>79</v>
      </c>
      <c r="R17" s="79" t="s">
        <v>79</v>
      </c>
      <c r="S17" s="82" t="str">
        <f t="shared" si="3"/>
        <v>CUMPLE</v>
      </c>
      <c r="T17" s="83" t="s">
        <v>108</v>
      </c>
      <c r="U17" s="83"/>
      <c r="Y17" s="61"/>
      <c r="Z17" s="61"/>
      <c r="AA17" s="61"/>
      <c r="AB17" s="61"/>
      <c r="AC17" s="61"/>
    </row>
    <row r="18" spans="1:29">
      <c r="A18" s="102" t="s">
        <v>46</v>
      </c>
      <c r="B18" s="82">
        <f>COUNTIFS(G:G,"HOSPITALIZACIÓN",I:I,"GOTAS",S:S,"CUMPLE")</f>
        <v>0</v>
      </c>
      <c r="C18" s="82">
        <f>COUNTIFS(G:G,"HOSPITALIZACIÓN",I:I,"GOTAS")</f>
        <v>0</v>
      </c>
      <c r="D18" s="100">
        <f>IFERROR(COUNTIFS(G:G,"HOSPITALIZACIÓN",I:I,"GOTAS",S:S,"CUMPLE")/COUNTIFS(G:G,"HOSPITALIZACIÓN",I:I,"GOTAS"),0)</f>
        <v>0</v>
      </c>
      <c r="E18" s="73">
        <v>16</v>
      </c>
      <c r="F18" s="96">
        <v>46037</v>
      </c>
      <c r="G18" s="79" t="s">
        <v>33</v>
      </c>
      <c r="H18" s="79" t="s">
        <v>38</v>
      </c>
      <c r="I18" s="80" t="s">
        <v>47</v>
      </c>
      <c r="J18" s="81" t="s">
        <v>79</v>
      </c>
      <c r="K18" s="79" t="s">
        <v>80</v>
      </c>
      <c r="L18" s="79" t="s">
        <v>79</v>
      </c>
      <c r="M18" s="79" t="s">
        <v>88</v>
      </c>
      <c r="N18" s="79" t="s">
        <v>89</v>
      </c>
      <c r="O18" s="79" t="s">
        <v>79</v>
      </c>
      <c r="P18" s="79" t="s">
        <v>80</v>
      </c>
      <c r="Q18" s="79" t="s">
        <v>88</v>
      </c>
      <c r="R18" s="79" t="s">
        <v>79</v>
      </c>
      <c r="S18" s="82" t="str">
        <f t="shared" si="3"/>
        <v>CUMPLE</v>
      </c>
      <c r="T18" s="83" t="s">
        <v>109</v>
      </c>
      <c r="U18" s="83"/>
      <c r="V18" s="24"/>
      <c r="W18" s="24"/>
      <c r="X18" s="61"/>
      <c r="Y18" s="61"/>
      <c r="Z18" s="61"/>
      <c r="AA18" s="61"/>
      <c r="AB18" s="61"/>
      <c r="AC18" s="61"/>
    </row>
    <row r="19" spans="1:29">
      <c r="A19" s="103" t="s">
        <v>47</v>
      </c>
      <c r="B19" s="82">
        <f>COUNTIFS(G:G,"HOSPITALIZACIÓN",I:I,"VIA AEREA",S:S,"CUMPLE")</f>
        <v>2</v>
      </c>
      <c r="C19" s="82">
        <f>COUNTIFS(G:G,"HOSPITALIZACIÓN",I:I,"VIA AEREA")</f>
        <v>2</v>
      </c>
      <c r="D19" s="100">
        <f>IFERROR(COUNTIFS(G:G,"HOSPITALIZACIÓN",I:I,"VIA AEREA",S:S,"CUMPLE")/COUNTIFS(G:G,"HOSPITALIZACIÓN",I:I,"VIA AEREA"),0)</f>
        <v>1</v>
      </c>
      <c r="E19" s="73">
        <v>17</v>
      </c>
      <c r="F19" s="96">
        <v>46038</v>
      </c>
      <c r="G19" s="79" t="s">
        <v>33</v>
      </c>
      <c r="H19" s="79" t="s">
        <v>40</v>
      </c>
      <c r="I19" s="80" t="s">
        <v>44</v>
      </c>
      <c r="J19" s="81" t="s">
        <v>79</v>
      </c>
      <c r="K19" s="79" t="s">
        <v>80</v>
      </c>
      <c r="L19" s="79" t="s">
        <v>79</v>
      </c>
      <c r="M19" s="79" t="s">
        <v>79</v>
      </c>
      <c r="N19" s="79" t="s">
        <v>81</v>
      </c>
      <c r="O19" s="79" t="s">
        <v>79</v>
      </c>
      <c r="P19" s="79" t="s">
        <v>79</v>
      </c>
      <c r="Q19" s="79" t="s">
        <v>79</v>
      </c>
      <c r="R19" s="79" t="s">
        <v>79</v>
      </c>
      <c r="S19" s="82" t="str">
        <f t="shared" si="3"/>
        <v>CUMPLE</v>
      </c>
      <c r="T19" s="83" t="s">
        <v>110</v>
      </c>
      <c r="U19" s="83"/>
    </row>
    <row r="20" spans="1:29">
      <c r="A20" s="104"/>
      <c r="B20" s="92"/>
      <c r="C20" s="92"/>
      <c r="D20" s="93"/>
      <c r="E20" s="73">
        <v>18</v>
      </c>
      <c r="F20" s="96">
        <v>46041</v>
      </c>
      <c r="G20" s="79" t="s">
        <v>33</v>
      </c>
      <c r="H20" s="79" t="s">
        <v>40</v>
      </c>
      <c r="I20" s="80" t="s">
        <v>44</v>
      </c>
      <c r="J20" s="81" t="s">
        <v>79</v>
      </c>
      <c r="K20" s="79" t="s">
        <v>80</v>
      </c>
      <c r="L20" s="79" t="s">
        <v>79</v>
      </c>
      <c r="M20" s="79" t="s">
        <v>79</v>
      </c>
      <c r="N20" s="79" t="s">
        <v>81</v>
      </c>
      <c r="O20" s="79" t="s">
        <v>79</v>
      </c>
      <c r="P20" s="79" t="s">
        <v>79</v>
      </c>
      <c r="Q20" s="79" t="s">
        <v>79</v>
      </c>
      <c r="R20" s="79" t="s">
        <v>79</v>
      </c>
      <c r="S20" s="82" t="str">
        <f t="shared" si="3"/>
        <v>CUMPLE</v>
      </c>
      <c r="T20" s="83" t="s">
        <v>111</v>
      </c>
      <c r="U20" s="83"/>
    </row>
    <row r="21" spans="1:29">
      <c r="A21" s="137" t="s">
        <v>112</v>
      </c>
      <c r="B21" s="138"/>
      <c r="C21" s="138"/>
      <c r="D21" s="139"/>
      <c r="E21" s="73">
        <v>19</v>
      </c>
      <c r="F21" s="96">
        <v>45676</v>
      </c>
      <c r="G21" s="79" t="s">
        <v>33</v>
      </c>
      <c r="H21" s="79" t="s">
        <v>113</v>
      </c>
      <c r="I21" s="80" t="s">
        <v>45</v>
      </c>
      <c r="J21" s="81" t="s">
        <v>79</v>
      </c>
      <c r="K21" s="79" t="s">
        <v>80</v>
      </c>
      <c r="L21" s="79" t="s">
        <v>79</v>
      </c>
      <c r="M21" s="79" t="s">
        <v>79</v>
      </c>
      <c r="N21" s="79" t="s">
        <v>81</v>
      </c>
      <c r="O21" s="79" t="s">
        <v>79</v>
      </c>
      <c r="P21" s="79" t="s">
        <v>79</v>
      </c>
      <c r="Q21" s="79" t="s">
        <v>79</v>
      </c>
      <c r="R21" s="79" t="s">
        <v>79</v>
      </c>
      <c r="S21" s="82" t="str">
        <f t="shared" si="3"/>
        <v>CUMPLE</v>
      </c>
      <c r="T21" s="83" t="s">
        <v>114</v>
      </c>
      <c r="U21" s="105"/>
    </row>
    <row r="22" spans="1:29">
      <c r="A22" s="70" t="s">
        <v>38</v>
      </c>
      <c r="B22" s="82">
        <f>COUNTIFS(G:G,"HOSPITALIZACIÓN",H:H,"AUXILIAR",S:S,"CUMPLE")</f>
        <v>7</v>
      </c>
      <c r="C22" s="82">
        <f>COUNTIFS(G:G,"HOSPITALIZACIÓN",H:H,"AUXILIAR")</f>
        <v>8</v>
      </c>
      <c r="D22" s="6">
        <f>IFERROR(COUNTIFS(G:G,"HOSPITALIZACIÓN",H:H,"AUXILIAR",S:S,"CUMPLE")/COUNTIFS(G:G,"HOSPITALIZACIÓN",H:H,"AUXILIAR"),0)</f>
        <v>0.875</v>
      </c>
      <c r="E22" s="73">
        <v>20</v>
      </c>
      <c r="F22" s="96" t="s">
        <v>115</v>
      </c>
      <c r="G22" s="79" t="s">
        <v>35</v>
      </c>
      <c r="H22" s="79" t="s">
        <v>113</v>
      </c>
      <c r="I22" s="80" t="s">
        <v>45</v>
      </c>
      <c r="J22" s="81" t="s">
        <v>79</v>
      </c>
      <c r="K22" s="79" t="s">
        <v>80</v>
      </c>
      <c r="L22" s="79" t="s">
        <v>79</v>
      </c>
      <c r="M22" s="79" t="s">
        <v>79</v>
      </c>
      <c r="N22" s="79" t="s">
        <v>81</v>
      </c>
      <c r="O22" s="79" t="s">
        <v>79</v>
      </c>
      <c r="P22" s="79" t="s">
        <v>79</v>
      </c>
      <c r="Q22" s="79" t="s">
        <v>79</v>
      </c>
      <c r="R22" s="79" t="s">
        <v>79</v>
      </c>
      <c r="S22" s="82" t="str">
        <f t="shared" si="3"/>
        <v>CUMPLE</v>
      </c>
      <c r="T22" s="83" t="s">
        <v>116</v>
      </c>
      <c r="U22" s="105"/>
    </row>
    <row r="23" spans="1:29" ht="15.75" customHeight="1">
      <c r="A23" s="70" t="s">
        <v>50</v>
      </c>
      <c r="B23" s="82">
        <f>COUNTIFS(G:G,"HOSPITALIZACIÓN",H:H,"ENFERMERA",S:S,"CUMPLE")</f>
        <v>0</v>
      </c>
      <c r="C23" s="82">
        <f>COUNTIFS(G:G,"HOSPITALIZACIÓN",H:H,"ENFERMERA")</f>
        <v>0</v>
      </c>
      <c r="D23" s="6">
        <f>IFERROR(COUNTIFS(G:G,"HOSPITALIZACIÓN",H:H,"ENFERMERA",S:S,"CUMPLE")/COUNTIFS(G:G,"HOSPITALIZACIÓN",H:H,"ENFERMERA"),0)</f>
        <v>0</v>
      </c>
      <c r="E23" s="73">
        <v>21</v>
      </c>
      <c r="F23" s="78">
        <v>46042</v>
      </c>
      <c r="G23" s="106" t="s">
        <v>35</v>
      </c>
      <c r="H23" s="79" t="s">
        <v>38</v>
      </c>
      <c r="I23" s="80" t="s">
        <v>45</v>
      </c>
      <c r="J23" s="81" t="s">
        <v>79</v>
      </c>
      <c r="K23" s="79" t="s">
        <v>80</v>
      </c>
      <c r="L23" s="79" t="s">
        <v>79</v>
      </c>
      <c r="M23" s="79" t="s">
        <v>79</v>
      </c>
      <c r="N23" s="79" t="s">
        <v>81</v>
      </c>
      <c r="O23" s="79" t="s">
        <v>80</v>
      </c>
      <c r="P23" s="79" t="s">
        <v>80</v>
      </c>
      <c r="Q23" s="79" t="s">
        <v>80</v>
      </c>
      <c r="R23" s="79" t="s">
        <v>80</v>
      </c>
      <c r="S23" s="82" t="str">
        <f t="shared" si="3"/>
        <v>NO CUMPLE</v>
      </c>
      <c r="T23" s="105" t="s">
        <v>117</v>
      </c>
      <c r="U23" s="105"/>
    </row>
    <row r="24" spans="1:29" ht="15.75" customHeight="1">
      <c r="A24" s="70" t="s">
        <v>55</v>
      </c>
      <c r="B24" s="82">
        <f>COUNTIFS(G:G,"HOSPITALIZACIÓN",H:H,"FISIOTERAPEUTA",S:S,"CUMPLE")</f>
        <v>0</v>
      </c>
      <c r="C24" s="82">
        <f>COUNTIFS(G:G,"HOSPITALIZACIÓN",H:H,"FISIOTERAPEUTA")</f>
        <v>0</v>
      </c>
      <c r="D24" s="6">
        <f>IFERROR(COUNTIFS(G:G,"HOSPITALIZACIÓN",H:H,"FISIOTERAPEUTA",S:S,"CUMPLE")/COUNTIFS(G:G,"HOSPITALIZACIÓN",H:H,"FISIOTERAPEUTA"),0)</f>
        <v>0</v>
      </c>
      <c r="E24" s="73">
        <v>22</v>
      </c>
      <c r="F24" s="78">
        <v>46042</v>
      </c>
      <c r="G24" s="106" t="s">
        <v>33</v>
      </c>
      <c r="H24" s="79" t="s">
        <v>40</v>
      </c>
      <c r="I24" s="80" t="s">
        <v>44</v>
      </c>
      <c r="J24" s="81" t="s">
        <v>79</v>
      </c>
      <c r="K24" s="79" t="s">
        <v>80</v>
      </c>
      <c r="L24" s="79" t="s">
        <v>79</v>
      </c>
      <c r="M24" s="79" t="s">
        <v>79</v>
      </c>
      <c r="N24" s="79" t="s">
        <v>81</v>
      </c>
      <c r="O24" s="79" t="s">
        <v>79</v>
      </c>
      <c r="P24" s="79" t="s">
        <v>79</v>
      </c>
      <c r="Q24" s="79" t="s">
        <v>79</v>
      </c>
      <c r="R24" s="79" t="s">
        <v>79</v>
      </c>
      <c r="S24" s="82" t="str">
        <f t="shared" si="3"/>
        <v>CUMPLE</v>
      </c>
      <c r="T24" s="107" t="s">
        <v>118</v>
      </c>
      <c r="U24" s="107"/>
    </row>
    <row r="25" spans="1:29" ht="15.75" customHeight="1">
      <c r="A25" s="70" t="s">
        <v>40</v>
      </c>
      <c r="B25" s="82">
        <f>COUNTIFS(G:G,"HOSPITALIZACIÓN",H:H,"MEDICO",S:S,"CUMPLE")</f>
        <v>4</v>
      </c>
      <c r="C25" s="82">
        <f>COUNTIFS(G:G,"HOSPITALIZACIÓN",H:H,"MEDICO")</f>
        <v>5</v>
      </c>
      <c r="D25" s="6">
        <f>IFERROR(COUNTIFS(G:G,"HOSPITALIZACIÓN",H:H,"MEDICO",S:S,"CUMPLE")/COUNTIFS(G:G,"HOSPITALIZACIÓN",H:H,"MEDICO"),0)</f>
        <v>0.8</v>
      </c>
      <c r="E25" s="73">
        <v>23</v>
      </c>
      <c r="F25" s="78">
        <v>46042</v>
      </c>
      <c r="G25" s="91" t="s">
        <v>33</v>
      </c>
      <c r="H25" s="79" t="s">
        <v>113</v>
      </c>
      <c r="I25" s="80" t="s">
        <v>44</v>
      </c>
      <c r="J25" s="81" t="s">
        <v>79</v>
      </c>
      <c r="K25" s="79" t="s">
        <v>80</v>
      </c>
      <c r="L25" s="79" t="s">
        <v>79</v>
      </c>
      <c r="M25" s="79" t="s">
        <v>79</v>
      </c>
      <c r="N25" s="79" t="s">
        <v>81</v>
      </c>
      <c r="O25" s="79" t="s">
        <v>80</v>
      </c>
      <c r="P25" s="79" t="s">
        <v>80</v>
      </c>
      <c r="Q25" s="79" t="s">
        <v>80</v>
      </c>
      <c r="R25" s="79" t="s">
        <v>80</v>
      </c>
      <c r="S25" s="82" t="str">
        <f t="shared" si="3"/>
        <v>NO CUMPLE</v>
      </c>
      <c r="T25" s="105" t="s">
        <v>119</v>
      </c>
      <c r="U25" s="105"/>
    </row>
    <row r="26" spans="1:29" ht="15.75" customHeight="1">
      <c r="A26" s="70" t="s">
        <v>101</v>
      </c>
      <c r="B26" s="108"/>
      <c r="C26" s="108"/>
      <c r="D26" s="109"/>
      <c r="E26" s="73">
        <v>24</v>
      </c>
      <c r="F26" s="110">
        <v>46042</v>
      </c>
      <c r="G26" s="91" t="s">
        <v>35</v>
      </c>
      <c r="H26" s="79" t="s">
        <v>120</v>
      </c>
      <c r="I26" s="80" t="s">
        <v>45</v>
      </c>
      <c r="J26" s="81" t="s">
        <v>79</v>
      </c>
      <c r="K26" s="79" t="s">
        <v>80</v>
      </c>
      <c r="L26" s="79" t="s">
        <v>79</v>
      </c>
      <c r="M26" s="79" t="s">
        <v>79</v>
      </c>
      <c r="N26" s="79" t="s">
        <v>81</v>
      </c>
      <c r="O26" s="79" t="s">
        <v>79</v>
      </c>
      <c r="P26" s="79" t="s">
        <v>79</v>
      </c>
      <c r="Q26" s="79" t="s">
        <v>79</v>
      </c>
      <c r="R26" s="79" t="s">
        <v>79</v>
      </c>
      <c r="S26" s="82" t="str">
        <f t="shared" si="3"/>
        <v>CUMPLE</v>
      </c>
      <c r="T26" s="107" t="s">
        <v>121</v>
      </c>
      <c r="U26" s="111"/>
    </row>
    <row r="27" spans="1:29" ht="15.75" customHeight="1">
      <c r="A27" s="137" t="s">
        <v>122</v>
      </c>
      <c r="B27" s="138"/>
      <c r="C27" s="138"/>
      <c r="D27" s="139"/>
      <c r="E27" s="73">
        <v>25</v>
      </c>
      <c r="F27" s="96">
        <v>46042</v>
      </c>
      <c r="G27" s="79" t="s">
        <v>35</v>
      </c>
      <c r="H27" s="79" t="s">
        <v>101</v>
      </c>
      <c r="I27" s="80" t="s">
        <v>45</v>
      </c>
      <c r="J27" s="81" t="s">
        <v>79</v>
      </c>
      <c r="K27" s="79" t="s">
        <v>80</v>
      </c>
      <c r="L27" s="79" t="s">
        <v>79</v>
      </c>
      <c r="M27" s="79" t="s">
        <v>79</v>
      </c>
      <c r="N27" s="79" t="s">
        <v>80</v>
      </c>
      <c r="O27" s="79" t="s">
        <v>79</v>
      </c>
      <c r="P27" s="79" t="s">
        <v>79</v>
      </c>
      <c r="Q27" s="79" t="s">
        <v>80</v>
      </c>
      <c r="R27" s="79" t="s">
        <v>80</v>
      </c>
      <c r="S27" s="82" t="str">
        <f t="shared" si="3"/>
        <v>NO CUMPLE</v>
      </c>
      <c r="T27" s="107" t="s">
        <v>123</v>
      </c>
      <c r="U27" s="107"/>
    </row>
    <row r="28" spans="1:29" ht="15.75" customHeight="1">
      <c r="A28" s="99" t="s">
        <v>44</v>
      </c>
      <c r="B28" s="82">
        <f>COUNTIFS(G:G,"UCI",I:I,"COHORTIZACIÓN",S:S,"CUMPLE")</f>
        <v>0</v>
      </c>
      <c r="C28" s="82">
        <f>COUNTIFS(G:G,"UCI",I:I,"COHORTIZACIÓN")</f>
        <v>1</v>
      </c>
      <c r="D28" s="100">
        <f>IFERROR(COUNTIFS(G:G,"UCI",I:I,"COHORTIZACIÓN",S:S,"CUMPLE")/COUNTIFS(G:G,"UCI",I:I,"COHORTIZACIÓN"),0)</f>
        <v>0</v>
      </c>
      <c r="E28" s="73">
        <v>26</v>
      </c>
      <c r="F28" s="96">
        <v>46042</v>
      </c>
      <c r="G28" s="79" t="s">
        <v>35</v>
      </c>
      <c r="H28" s="79" t="s">
        <v>40</v>
      </c>
      <c r="I28" s="80" t="s">
        <v>47</v>
      </c>
      <c r="J28" s="81" t="s">
        <v>79</v>
      </c>
      <c r="K28" s="79" t="s">
        <v>80</v>
      </c>
      <c r="L28" s="79" t="s">
        <v>79</v>
      </c>
      <c r="M28" s="79" t="s">
        <v>79</v>
      </c>
      <c r="N28" s="79" t="s">
        <v>89</v>
      </c>
      <c r="O28" s="79" t="s">
        <v>79</v>
      </c>
      <c r="P28" s="79" t="s">
        <v>79</v>
      </c>
      <c r="Q28" s="79" t="s">
        <v>79</v>
      </c>
      <c r="R28" s="79" t="s">
        <v>79</v>
      </c>
      <c r="S28" s="82" t="str">
        <f t="shared" si="3"/>
        <v>CUMPLE</v>
      </c>
      <c r="T28" s="107" t="s">
        <v>124</v>
      </c>
      <c r="U28" s="107"/>
    </row>
    <row r="29" spans="1:29" ht="15.75" customHeight="1">
      <c r="A29" s="101" t="s">
        <v>45</v>
      </c>
      <c r="B29" s="82">
        <f>COUNTIFS(G:G,"UCI",I:I,"CONTACTO",S:S,"CUMPLE")</f>
        <v>6</v>
      </c>
      <c r="C29" s="82">
        <f>COUNTIFS(G:G,"UCI",I:I,"CONTACTO")</f>
        <v>6</v>
      </c>
      <c r="D29" s="100">
        <f>IFERROR(COUNTIFS(G:G,"UCI",I:I,"CONTACTO",S:S,"CUMPLE")/COUNTIFS(G:G,"UCI",I:I,"CONTACTO"),0)</f>
        <v>1</v>
      </c>
      <c r="E29" s="73">
        <v>27</v>
      </c>
      <c r="F29" s="96">
        <v>46042</v>
      </c>
      <c r="G29" s="79" t="s">
        <v>35</v>
      </c>
      <c r="H29" s="79" t="s">
        <v>38</v>
      </c>
      <c r="I29" s="80" t="s">
        <v>45</v>
      </c>
      <c r="J29" s="81" t="s">
        <v>79</v>
      </c>
      <c r="K29" s="79" t="s">
        <v>80</v>
      </c>
      <c r="L29" s="79" t="s">
        <v>79</v>
      </c>
      <c r="M29" s="79" t="s">
        <v>79</v>
      </c>
      <c r="N29" s="79" t="s">
        <v>81</v>
      </c>
      <c r="O29" s="79" t="s">
        <v>79</v>
      </c>
      <c r="P29" s="79" t="s">
        <v>79</v>
      </c>
      <c r="Q29" s="79" t="s">
        <v>79</v>
      </c>
      <c r="R29" s="79" t="s">
        <v>79</v>
      </c>
      <c r="S29" s="82" t="str">
        <f t="shared" si="3"/>
        <v>CUMPLE</v>
      </c>
      <c r="T29" s="107" t="s">
        <v>125</v>
      </c>
      <c r="U29" s="107"/>
    </row>
    <row r="30" spans="1:29" ht="15.75" customHeight="1">
      <c r="A30" s="102" t="s">
        <v>46</v>
      </c>
      <c r="B30" s="82">
        <f>COUNTIFS(G:G,"UCI",I:I,"GOTAS",S:S,"CUMPLE")</f>
        <v>0</v>
      </c>
      <c r="C30" s="82">
        <f>COUNTIFS(G:G,"UCI",I:I,"GOTAS")</f>
        <v>0</v>
      </c>
      <c r="D30" s="100">
        <f>IFERROR(COUNTIFS(G:G,"UCI",I:I,"GOTAS",S:S,"CUMPLE")/COUNTIFS(G:G,"UCI",I:I,"GOTAS"),0)</f>
        <v>0</v>
      </c>
      <c r="E30" s="73">
        <v>28</v>
      </c>
      <c r="F30" s="96">
        <v>46042</v>
      </c>
      <c r="G30" s="79" t="s">
        <v>35</v>
      </c>
      <c r="H30" s="79" t="s">
        <v>113</v>
      </c>
      <c r="I30" s="80" t="s">
        <v>45</v>
      </c>
      <c r="J30" s="81" t="s">
        <v>79</v>
      </c>
      <c r="K30" s="79" t="s">
        <v>80</v>
      </c>
      <c r="L30" s="79" t="s">
        <v>79</v>
      </c>
      <c r="M30" s="79" t="s">
        <v>79</v>
      </c>
      <c r="N30" s="79" t="s">
        <v>81</v>
      </c>
      <c r="O30" s="79" t="s">
        <v>79</v>
      </c>
      <c r="P30" s="79" t="s">
        <v>79</v>
      </c>
      <c r="Q30" s="79" t="s">
        <v>79</v>
      </c>
      <c r="R30" s="79" t="s">
        <v>79</v>
      </c>
      <c r="S30" s="82" t="str">
        <f t="shared" si="3"/>
        <v>CUMPLE</v>
      </c>
      <c r="T30" s="107" t="s">
        <v>126</v>
      </c>
      <c r="U30" s="107"/>
    </row>
    <row r="31" spans="1:29" ht="15.75" customHeight="1">
      <c r="A31" s="103" t="s">
        <v>47</v>
      </c>
      <c r="B31" s="82">
        <f>COUNTIFS(G:G,"UCI",I:I,"VIA AEREA",S:S,"CUMPLE")</f>
        <v>2</v>
      </c>
      <c r="C31" s="82">
        <f>COUNTIFS(G:G,"UCI",I:I,"VIA AEREA")</f>
        <v>2</v>
      </c>
      <c r="D31" s="100">
        <f>IFERROR(COUNTIFS(G:G,"UCI",I:I,"VIA AEREA",S:S,"CUMPLE")/COUNTIFS(G:G,"UCI",I:I,"VIA AEREA"),0)</f>
        <v>1</v>
      </c>
      <c r="E31" s="73">
        <v>29</v>
      </c>
      <c r="F31" s="96">
        <v>46043</v>
      </c>
      <c r="G31" s="79" t="s">
        <v>34</v>
      </c>
      <c r="H31" s="79" t="s">
        <v>38</v>
      </c>
      <c r="I31" s="80" t="s">
        <v>45</v>
      </c>
      <c r="J31" s="81" t="s">
        <v>79</v>
      </c>
      <c r="K31" s="79" t="s">
        <v>80</v>
      </c>
      <c r="L31" s="79" t="s">
        <v>79</v>
      </c>
      <c r="M31" s="79" t="s">
        <v>79</v>
      </c>
      <c r="N31" s="79" t="s">
        <v>81</v>
      </c>
      <c r="O31" s="79" t="s">
        <v>79</v>
      </c>
      <c r="P31" s="79" t="s">
        <v>79</v>
      </c>
      <c r="Q31" s="79" t="s">
        <v>79</v>
      </c>
      <c r="R31" s="79" t="s">
        <v>79</v>
      </c>
      <c r="S31" s="82" t="str">
        <f t="shared" si="3"/>
        <v>CUMPLE</v>
      </c>
      <c r="T31" s="107" t="s">
        <v>127</v>
      </c>
      <c r="U31" s="107"/>
    </row>
    <row r="32" spans="1:29" ht="15.75" customHeight="1">
      <c r="A32" s="104"/>
      <c r="B32" s="92"/>
      <c r="C32" s="92"/>
      <c r="D32" s="93"/>
      <c r="E32" s="73">
        <v>30</v>
      </c>
      <c r="F32" s="96">
        <v>46044</v>
      </c>
      <c r="G32" s="79" t="s">
        <v>34</v>
      </c>
      <c r="H32" s="79" t="s">
        <v>38</v>
      </c>
      <c r="I32" s="80" t="s">
        <v>45</v>
      </c>
      <c r="J32" s="81" t="s">
        <v>79</v>
      </c>
      <c r="K32" s="79" t="s">
        <v>80</v>
      </c>
      <c r="L32" s="79" t="s">
        <v>79</v>
      </c>
      <c r="M32" s="79" t="s">
        <v>79</v>
      </c>
      <c r="N32" s="79" t="s">
        <v>81</v>
      </c>
      <c r="O32" s="79" t="s">
        <v>79</v>
      </c>
      <c r="P32" s="79" t="s">
        <v>79</v>
      </c>
      <c r="Q32" s="79" t="s">
        <v>79</v>
      </c>
      <c r="R32" s="79" t="s">
        <v>79</v>
      </c>
      <c r="S32" s="82" t="str">
        <f t="shared" si="3"/>
        <v>CUMPLE</v>
      </c>
      <c r="T32" s="107" t="s">
        <v>128</v>
      </c>
      <c r="U32" s="107"/>
    </row>
    <row r="33" spans="1:21" ht="15.75" customHeight="1">
      <c r="A33" s="137" t="s">
        <v>129</v>
      </c>
      <c r="B33" s="138"/>
      <c r="C33" s="138"/>
      <c r="D33" s="139"/>
      <c r="E33" s="73">
        <v>31</v>
      </c>
      <c r="F33" s="112">
        <v>46044</v>
      </c>
      <c r="G33" s="79" t="s">
        <v>33</v>
      </c>
      <c r="H33" s="79" t="s">
        <v>101</v>
      </c>
      <c r="I33" s="80" t="s">
        <v>45</v>
      </c>
      <c r="J33" s="81" t="s">
        <v>79</v>
      </c>
      <c r="K33" s="79" t="s">
        <v>80</v>
      </c>
      <c r="L33" s="79" t="s">
        <v>79</v>
      </c>
      <c r="M33" s="79" t="s">
        <v>79</v>
      </c>
      <c r="N33" s="79" t="s">
        <v>89</v>
      </c>
      <c r="O33" s="79" t="s">
        <v>80</v>
      </c>
      <c r="P33" s="79" t="s">
        <v>79</v>
      </c>
      <c r="Q33" s="79" t="s">
        <v>79</v>
      </c>
      <c r="R33" s="79" t="s">
        <v>79</v>
      </c>
      <c r="S33" s="82" t="str">
        <f t="shared" si="3"/>
        <v>CUMPLE</v>
      </c>
      <c r="T33" s="107" t="s">
        <v>130</v>
      </c>
      <c r="U33" s="107"/>
    </row>
    <row r="34" spans="1:21" ht="15.75" customHeight="1">
      <c r="A34" s="70" t="s">
        <v>38</v>
      </c>
      <c r="B34" s="82">
        <f>COUNTIFS(G:G,"UCI",H:H,"AUXILIAR",S:S,"CUMPLE")</f>
        <v>6</v>
      </c>
      <c r="C34" s="82">
        <f>COUNTIFS(G:G,"UCI",H:H,"AUXILIAR")</f>
        <v>7</v>
      </c>
      <c r="D34" s="6">
        <f>IFERROR(COUNTIFS(G:G,"UCI",H:H,"AUXILIAR",S:S,"CUMPLE")/COUNTIFS(G:G,"UCI",H:H,"AUXILIAR"),0)</f>
        <v>0.8571428571428571</v>
      </c>
      <c r="E34" s="73">
        <v>32</v>
      </c>
      <c r="F34" s="112">
        <v>46044</v>
      </c>
      <c r="G34" s="79" t="s">
        <v>34</v>
      </c>
      <c r="H34" s="79" t="s">
        <v>40</v>
      </c>
      <c r="I34" s="80" t="s">
        <v>47</v>
      </c>
      <c r="J34" s="81" t="s">
        <v>79</v>
      </c>
      <c r="K34" s="79" t="s">
        <v>80</v>
      </c>
      <c r="L34" s="79" t="s">
        <v>79</v>
      </c>
      <c r="M34" s="79" t="s">
        <v>79</v>
      </c>
      <c r="N34" s="79" t="s">
        <v>89</v>
      </c>
      <c r="O34" s="79" t="s">
        <v>79</v>
      </c>
      <c r="P34" s="79" t="s">
        <v>79</v>
      </c>
      <c r="Q34" s="79" t="s">
        <v>79</v>
      </c>
      <c r="R34" s="79" t="s">
        <v>79</v>
      </c>
      <c r="S34" s="82" t="str">
        <f t="shared" si="3"/>
        <v>CUMPLE</v>
      </c>
      <c r="T34" s="107" t="s">
        <v>131</v>
      </c>
      <c r="U34" s="107"/>
    </row>
    <row r="35" spans="1:21" ht="15.75" customHeight="1">
      <c r="A35" s="70" t="s">
        <v>50</v>
      </c>
      <c r="B35" s="82">
        <f>COUNTIFS(G:G,"UCI",H:H,"ENFERMERA",S:S,"CUMPLE")</f>
        <v>0</v>
      </c>
      <c r="C35" s="82">
        <f>COUNTIFS(G:G,"UCI",H:H,"ENFERMERA")</f>
        <v>0</v>
      </c>
      <c r="D35" s="6">
        <f>IFERROR(COUNTIFS(G:G,"UCI",H:H,"ENFERMERA",S:S,"CUMPLE")/COUNTIFS(G:G,"UCI",H:H,"ENFERMERA"),0)</f>
        <v>0</v>
      </c>
      <c r="E35" s="73">
        <v>33</v>
      </c>
      <c r="F35" s="113">
        <v>46045</v>
      </c>
      <c r="G35" s="79" t="s">
        <v>35</v>
      </c>
      <c r="H35" s="79" t="s">
        <v>38</v>
      </c>
      <c r="I35" s="80" t="s">
        <v>47</v>
      </c>
      <c r="J35" s="81" t="s">
        <v>79</v>
      </c>
      <c r="K35" s="79" t="s">
        <v>80</v>
      </c>
      <c r="L35" s="79" t="s">
        <v>79</v>
      </c>
      <c r="M35" s="79" t="s">
        <v>88</v>
      </c>
      <c r="N35" s="79" t="s">
        <v>89</v>
      </c>
      <c r="O35" s="79" t="s">
        <v>79</v>
      </c>
      <c r="P35" s="79" t="s">
        <v>79</v>
      </c>
      <c r="Q35" s="79" t="s">
        <v>88</v>
      </c>
      <c r="R35" s="79" t="s">
        <v>79</v>
      </c>
      <c r="S35" s="82" t="str">
        <f t="shared" si="3"/>
        <v>CUMPLE</v>
      </c>
      <c r="T35" s="107" t="s">
        <v>132</v>
      </c>
      <c r="U35" s="107"/>
    </row>
    <row r="36" spans="1:21" ht="15.75" customHeight="1">
      <c r="A36" s="70" t="s">
        <v>55</v>
      </c>
      <c r="B36" s="82">
        <f>COUNTIFS(G:G,"UCI",H:H,"FISIOTERAPEUTA",S:S,"CUMPLE")</f>
        <v>0</v>
      </c>
      <c r="C36" s="82">
        <f>COUNTIFS(G:G,"UCI",H:H,"FISIOTERAPEUTA")</f>
        <v>0</v>
      </c>
      <c r="D36" s="6">
        <f>IFERROR(COUNTIFS(G:G,"UCI",H:H,"FISIOTERAPEUTA",S:S,"CUMPLE")/COUNTIFS(G:G,"UCI",H:H,"FISIOTERAPEUTA"),0)</f>
        <v>0</v>
      </c>
      <c r="E36" s="73">
        <v>34</v>
      </c>
      <c r="F36" s="114">
        <v>46048</v>
      </c>
      <c r="G36" s="79" t="s">
        <v>34</v>
      </c>
      <c r="H36" s="79" t="s">
        <v>101</v>
      </c>
      <c r="I36" s="80" t="s">
        <v>45</v>
      </c>
      <c r="J36" s="81" t="s">
        <v>79</v>
      </c>
      <c r="K36" s="79" t="s">
        <v>80</v>
      </c>
      <c r="L36" s="79" t="s">
        <v>79</v>
      </c>
      <c r="M36" s="79" t="s">
        <v>79</v>
      </c>
      <c r="N36" s="79" t="s">
        <v>81</v>
      </c>
      <c r="O36" s="79" t="s">
        <v>80</v>
      </c>
      <c r="P36" s="79" t="s">
        <v>79</v>
      </c>
      <c r="Q36" s="79" t="s">
        <v>79</v>
      </c>
      <c r="R36" s="79" t="s">
        <v>79</v>
      </c>
      <c r="S36" s="115" t="str">
        <f t="shared" ref="S36:S46" si="4">IF(I36="CONTACTO",IF(COUNTIF(J36,"NO")+COUNTIF(K36,"SI")+COUNTIF(L36,"NO")+COUNTIF(M36,"NO")+COUNTIF(R36,"NO")=0,"CUMPLE","NO CUMPLE"),IF(I36="VIA AEREA",IF(COUNTIF(K36,"SI")+COUNTIF(L36,"NO")+(COUNTIF(N36,"ALTA EFICIENCIA")-1)+COUNTIF(R36,"NO")=0,"CUMPLE","NO CUMPLE"),IF(I36="VIA AEREA",IF(COUNTIF(J36,"NO")+COUNTIF(K36,"SI")+COUNTIF(L36,"NO")+(COUNTIF(N36,"ALTA EFICIENCIA")-1)+COUNTIF(R36,"NO")=0,"CUMPLE","NO CUMPLE"),IF(I36="GOTAS",IF(COUNTIF(J36,"NO")+COUNTIF(K36,"SI")+COUNTIF(L36,"NO")+(COUNTIF(N36,"QUIRURGICO")-1)+COUNTIF(R36,"NO")=0,"CUMPLE","NO CUMPLE"),IF(I36="COHORTIZACIÓN",IF(COUNTIF(J36,"NO")+COUNTIF(K36,"SI")+COUNTIF(L36,"NO")+COUNTIF(M36,"NO")+(COUNTIF(N36,"QUIRURGICO")-1)+COUNTIF(M57,"NA")+COUNTIF(O36,"NO")+COUNTIF(P36,"NO")+COUNTIF(Q36,"NO")+COUNTIF(R36,"NO")=0,"CUMPLE","NO CUMPLE"))))))</f>
        <v>CUMPLE</v>
      </c>
      <c r="T36" s="107" t="s">
        <v>133</v>
      </c>
      <c r="U36" s="107"/>
    </row>
    <row r="37" spans="1:21" ht="15.75" customHeight="1">
      <c r="A37" s="70" t="s">
        <v>40</v>
      </c>
      <c r="B37" s="82">
        <f t="shared" ref="B37:B38" si="5">COUNTIFS(G:G,"UCI",H:H,"MEDICO",S:S,"CUMPLE")</f>
        <v>1</v>
      </c>
      <c r="C37" s="82">
        <f t="shared" ref="C37:C38" si="6">COUNTIFS(G:G,"UCI",H:H,"MEDICO")</f>
        <v>1</v>
      </c>
      <c r="D37" s="6">
        <f t="shared" ref="D37:D38" si="7">IFERROR(COUNTIFS(G:G,"UCI",H:H,"MEDICO",S:S,"CUMPLE")/COUNTIFS(G:G,"UCI",H:H,"MEDICO"),0)</f>
        <v>1</v>
      </c>
      <c r="E37" s="73">
        <v>35</v>
      </c>
      <c r="F37" s="114">
        <v>46048</v>
      </c>
      <c r="G37" s="79" t="s">
        <v>33</v>
      </c>
      <c r="H37" s="79" t="s">
        <v>38</v>
      </c>
      <c r="I37" s="80" t="s">
        <v>45</v>
      </c>
      <c r="J37" s="81" t="s">
        <v>79</v>
      </c>
      <c r="K37" s="79" t="s">
        <v>80</v>
      </c>
      <c r="L37" s="79" t="s">
        <v>79</v>
      </c>
      <c r="M37" s="79" t="s">
        <v>79</v>
      </c>
      <c r="N37" s="79" t="s">
        <v>81</v>
      </c>
      <c r="O37" s="79" t="s">
        <v>80</v>
      </c>
      <c r="P37" s="79" t="s">
        <v>79</v>
      </c>
      <c r="Q37" s="79" t="s">
        <v>79</v>
      </c>
      <c r="R37" s="79" t="s">
        <v>79</v>
      </c>
      <c r="S37" s="115" t="str">
        <f t="shared" si="4"/>
        <v>CUMPLE</v>
      </c>
      <c r="T37" s="111" t="s">
        <v>134</v>
      </c>
      <c r="U37" s="111"/>
    </row>
    <row r="38" spans="1:21" ht="15.75" customHeight="1">
      <c r="A38" s="70" t="s">
        <v>101</v>
      </c>
      <c r="B38" s="82">
        <f t="shared" si="5"/>
        <v>1</v>
      </c>
      <c r="C38" s="82">
        <f t="shared" si="6"/>
        <v>1</v>
      </c>
      <c r="D38" s="6">
        <f t="shared" si="7"/>
        <v>1</v>
      </c>
      <c r="E38" s="73">
        <v>36</v>
      </c>
      <c r="F38" s="114">
        <v>46049</v>
      </c>
      <c r="G38" s="79" t="s">
        <v>33</v>
      </c>
      <c r="H38" s="79" t="s">
        <v>38</v>
      </c>
      <c r="I38" s="80" t="s">
        <v>45</v>
      </c>
      <c r="J38" s="81" t="s">
        <v>79</v>
      </c>
      <c r="K38" s="79" t="s">
        <v>80</v>
      </c>
      <c r="L38" s="79" t="s">
        <v>79</v>
      </c>
      <c r="M38" s="79" t="s">
        <v>79</v>
      </c>
      <c r="N38" s="79" t="s">
        <v>81</v>
      </c>
      <c r="O38" s="79" t="s">
        <v>79</v>
      </c>
      <c r="P38" s="79" t="s">
        <v>79</v>
      </c>
      <c r="Q38" s="79" t="s">
        <v>79</v>
      </c>
      <c r="R38" s="79" t="s">
        <v>79</v>
      </c>
      <c r="S38" s="115" t="str">
        <f t="shared" si="4"/>
        <v>CUMPLE</v>
      </c>
      <c r="T38" s="105" t="s">
        <v>109</v>
      </c>
      <c r="U38" s="105"/>
    </row>
    <row r="39" spans="1:21" ht="15.75" customHeight="1">
      <c r="A39" s="137" t="s">
        <v>135</v>
      </c>
      <c r="B39" s="138"/>
      <c r="C39" s="138"/>
      <c r="D39" s="139"/>
      <c r="E39" s="73">
        <v>37</v>
      </c>
      <c r="F39" s="114">
        <v>46049</v>
      </c>
      <c r="G39" s="79" t="s">
        <v>35</v>
      </c>
      <c r="H39" s="79" t="s">
        <v>38</v>
      </c>
      <c r="I39" s="80" t="s">
        <v>47</v>
      </c>
      <c r="J39" s="81" t="s">
        <v>79</v>
      </c>
      <c r="K39" s="79" t="s">
        <v>80</v>
      </c>
      <c r="L39" s="79" t="s">
        <v>79</v>
      </c>
      <c r="M39" s="79" t="s">
        <v>88</v>
      </c>
      <c r="N39" s="79" t="s">
        <v>89</v>
      </c>
      <c r="O39" s="79" t="s">
        <v>80</v>
      </c>
      <c r="P39" s="79" t="s">
        <v>79</v>
      </c>
      <c r="Q39" s="79" t="s">
        <v>79</v>
      </c>
      <c r="R39" s="79" t="s">
        <v>79</v>
      </c>
      <c r="S39" s="115" t="str">
        <f t="shared" si="4"/>
        <v>CUMPLE</v>
      </c>
      <c r="T39" s="105" t="s">
        <v>136</v>
      </c>
      <c r="U39" s="105"/>
    </row>
    <row r="40" spans="1:21" ht="15.75" customHeight="1">
      <c r="A40" s="99" t="s">
        <v>44</v>
      </c>
      <c r="B40" s="82">
        <f>COUNTIFS(G:G,"URGENCIAS",I:I,"COHORTIZACIÓN",S:S,"CUMPLE")</f>
        <v>0</v>
      </c>
      <c r="C40" s="82">
        <f>COUNTIFS(G:G,"URGENCIAS",I:I,"COHORTIZACIÓN")</f>
        <v>0</v>
      </c>
      <c r="D40" s="100">
        <f>IFERROR(COUNTIFS(G:G,"URGENCIAS",I:I,"COHORTIZACIÓN",S:S,"CUMPLE")/COUNTIFS(G:G,"URGENCIAS",I:I,"COHORTIZACIÓN"),0)</f>
        <v>0</v>
      </c>
      <c r="E40" s="73">
        <v>38</v>
      </c>
      <c r="F40" s="114">
        <v>46049</v>
      </c>
      <c r="G40" s="79" t="s">
        <v>35</v>
      </c>
      <c r="H40" s="79" t="s">
        <v>38</v>
      </c>
      <c r="I40" s="80" t="s">
        <v>45</v>
      </c>
      <c r="J40" s="81" t="s">
        <v>79</v>
      </c>
      <c r="K40" s="79" t="s">
        <v>80</v>
      </c>
      <c r="L40" s="79" t="s">
        <v>79</v>
      </c>
      <c r="M40" s="79" t="s">
        <v>79</v>
      </c>
      <c r="N40" s="79" t="s">
        <v>81</v>
      </c>
      <c r="O40" s="79" t="s">
        <v>80</v>
      </c>
      <c r="P40" s="79" t="s">
        <v>79</v>
      </c>
      <c r="Q40" s="79" t="s">
        <v>79</v>
      </c>
      <c r="R40" s="79" t="s">
        <v>79</v>
      </c>
      <c r="S40" s="115" t="str">
        <f t="shared" si="4"/>
        <v>CUMPLE</v>
      </c>
      <c r="T40" s="105" t="s">
        <v>137</v>
      </c>
      <c r="U40" s="105"/>
    </row>
    <row r="41" spans="1:21" ht="15.75" customHeight="1">
      <c r="A41" s="101" t="s">
        <v>45</v>
      </c>
      <c r="B41" s="82">
        <f>COUNTIFS(G:G,"URGENCIAS",I:I,"CONTACTO",S:S,"CUMPLE")</f>
        <v>5</v>
      </c>
      <c r="C41" s="82">
        <f>COUNTIFS(G:G,"URGENCIAS",I:I,"CONTACTO")</f>
        <v>7</v>
      </c>
      <c r="D41" s="100">
        <f>IFERROR(COUNTIFS(G:G,"URGENCIAS",I:I,"CONTACTO",S:S,"CUMPLE")/COUNTIFS(G:G,"URGENCIAS",I:I,"CONTACTO"),0)</f>
        <v>0.7142857142857143</v>
      </c>
      <c r="E41" s="73">
        <v>39</v>
      </c>
      <c r="F41" s="96">
        <v>46050</v>
      </c>
      <c r="G41" s="79" t="s">
        <v>33</v>
      </c>
      <c r="H41" s="79" t="s">
        <v>40</v>
      </c>
      <c r="I41" s="80" t="s">
        <v>44</v>
      </c>
      <c r="J41" s="81" t="s">
        <v>79</v>
      </c>
      <c r="K41" s="79" t="s">
        <v>80</v>
      </c>
      <c r="L41" s="79" t="s">
        <v>80</v>
      </c>
      <c r="M41" s="79" t="s">
        <v>80</v>
      </c>
      <c r="N41" s="79" t="s">
        <v>81</v>
      </c>
      <c r="O41" s="79" t="s">
        <v>80</v>
      </c>
      <c r="P41" s="79" t="s">
        <v>80</v>
      </c>
      <c r="Q41" s="79" t="s">
        <v>79</v>
      </c>
      <c r="R41" s="79" t="s">
        <v>80</v>
      </c>
      <c r="S41" s="115" t="str">
        <f t="shared" si="4"/>
        <v>NO CUMPLE</v>
      </c>
      <c r="T41" s="105" t="s">
        <v>138</v>
      </c>
      <c r="U41" s="105"/>
    </row>
    <row r="42" spans="1:21" ht="15.75" customHeight="1">
      <c r="A42" s="102" t="s">
        <v>46</v>
      </c>
      <c r="B42" s="82">
        <f>COUNTIFS(G:G,"URGENCIAS",I:I,"GOTAS",S:S,"CUMPLE")</f>
        <v>0</v>
      </c>
      <c r="C42" s="82">
        <f>COUNTIFS(G:G,"URGENCIAS",I:I,"GOTAS")</f>
        <v>0</v>
      </c>
      <c r="D42" s="100">
        <f>IFERROR(COUNTIFS(G:G,"URGENCIAS",I:I,"GOTAS",S:S,"CUMPLE")/COUNTIFS(G:G,"URGENCIAS",I:I,"GOTAS"),0)</f>
        <v>0</v>
      </c>
      <c r="E42" s="73">
        <v>40</v>
      </c>
      <c r="F42" s="96">
        <v>46052</v>
      </c>
      <c r="G42" s="79" t="s">
        <v>33</v>
      </c>
      <c r="H42" s="79" t="s">
        <v>101</v>
      </c>
      <c r="I42" s="80" t="s">
        <v>44</v>
      </c>
      <c r="J42" s="81" t="s">
        <v>79</v>
      </c>
      <c r="K42" s="79" t="s">
        <v>80</v>
      </c>
      <c r="L42" s="79" t="s">
        <v>79</v>
      </c>
      <c r="M42" s="79" t="s">
        <v>79</v>
      </c>
      <c r="N42" s="79" t="s">
        <v>81</v>
      </c>
      <c r="O42" s="79" t="s">
        <v>79</v>
      </c>
      <c r="P42" s="79" t="s">
        <v>79</v>
      </c>
      <c r="Q42" s="79" t="s">
        <v>79</v>
      </c>
      <c r="R42" s="79" t="s">
        <v>79</v>
      </c>
      <c r="S42" s="115" t="str">
        <f t="shared" si="4"/>
        <v>CUMPLE</v>
      </c>
      <c r="T42" s="107" t="s">
        <v>130</v>
      </c>
      <c r="U42" s="107" t="s">
        <v>139</v>
      </c>
    </row>
    <row r="43" spans="1:21" ht="15.75" customHeight="1">
      <c r="A43" s="103" t="s">
        <v>47</v>
      </c>
      <c r="B43" s="82">
        <f>COUNTIFS(G:G,"URGENCIAS",I:I,"VIA AEREA",S:S,"CUMPLE")</f>
        <v>4</v>
      </c>
      <c r="C43" s="82">
        <f>COUNTIFS(G:G,"URGENCIAS",I:I,"VIA AEREA")</f>
        <v>4</v>
      </c>
      <c r="D43" s="100">
        <f>IFERROR(COUNTIFS(G:G,"URGENCIAS",I:I,"VIA AEREA",S:S,"CUMPLE")/COUNTIFS(G:G,"URGENCIAS",I:I,"VIA AEREA"),0)</f>
        <v>1</v>
      </c>
      <c r="E43" s="73">
        <v>41</v>
      </c>
      <c r="F43" s="116"/>
      <c r="G43" s="117"/>
      <c r="H43" s="79"/>
      <c r="I43" s="80"/>
      <c r="J43" s="81"/>
      <c r="K43" s="79"/>
      <c r="L43" s="106"/>
      <c r="M43" s="79"/>
      <c r="N43" s="79"/>
      <c r="O43" s="106"/>
      <c r="P43" s="79"/>
      <c r="Q43" s="79"/>
      <c r="R43" s="79"/>
      <c r="S43" s="115" t="b">
        <f t="shared" si="4"/>
        <v>0</v>
      </c>
      <c r="T43" s="105"/>
      <c r="U43" s="105"/>
    </row>
    <row r="44" spans="1:21" ht="15.75" customHeight="1">
      <c r="A44" s="92"/>
      <c r="B44" s="92"/>
      <c r="C44" s="92"/>
      <c r="D44" s="93"/>
      <c r="E44" s="73">
        <v>42</v>
      </c>
      <c r="F44" s="116"/>
      <c r="G44" s="117"/>
      <c r="H44" s="117"/>
      <c r="I44" s="118"/>
      <c r="J44" s="81"/>
      <c r="K44" s="79"/>
      <c r="L44" s="106"/>
      <c r="M44" s="79"/>
      <c r="N44" s="79"/>
      <c r="O44" s="106"/>
      <c r="P44" s="79"/>
      <c r="Q44" s="79"/>
      <c r="R44" s="79"/>
      <c r="S44" s="115" t="b">
        <f t="shared" si="4"/>
        <v>0</v>
      </c>
      <c r="T44" s="107"/>
      <c r="U44" s="107"/>
    </row>
    <row r="45" spans="1:21" ht="15.75" customHeight="1">
      <c r="A45" s="137" t="s">
        <v>140</v>
      </c>
      <c r="B45" s="138"/>
      <c r="C45" s="138"/>
      <c r="D45" s="139"/>
      <c r="E45" s="73">
        <v>43</v>
      </c>
      <c r="F45" s="116"/>
      <c r="G45" s="117"/>
      <c r="H45" s="117"/>
      <c r="I45" s="118"/>
      <c r="J45" s="81"/>
      <c r="K45" s="79"/>
      <c r="L45" s="106"/>
      <c r="M45" s="79"/>
      <c r="N45" s="79"/>
      <c r="O45" s="106"/>
      <c r="P45" s="79"/>
      <c r="Q45" s="79"/>
      <c r="R45" s="79"/>
      <c r="S45" s="115" t="b">
        <f t="shared" si="4"/>
        <v>0</v>
      </c>
      <c r="T45" s="111"/>
      <c r="U45" s="111"/>
    </row>
    <row r="46" spans="1:21" ht="15.75" customHeight="1">
      <c r="A46" s="70" t="s">
        <v>38</v>
      </c>
      <c r="B46" s="82">
        <f>COUNTIFS(G:G,"URGENCIAS",H:H,"AUXILIAR",S:S,"CUMPLE")</f>
        <v>5</v>
      </c>
      <c r="C46" s="82">
        <f>COUNTIFS(G:G,"URGENCIAS",H:H,"AUXILIAR")</f>
        <v>6</v>
      </c>
      <c r="D46" s="6">
        <f>IFERROR(COUNTIFS(G:G,"URGENCIAS",H:H,"AUXILIAR",S:S,"CUMPLE")/COUNTIFS(G:G,"URGENCIAS",H:H,"AUXILIAR"),0)</f>
        <v>0.83333333333333337</v>
      </c>
      <c r="E46" s="73">
        <v>44</v>
      </c>
      <c r="F46" s="116"/>
      <c r="G46" s="117"/>
      <c r="H46" s="117"/>
      <c r="I46" s="118"/>
      <c r="J46" s="81"/>
      <c r="K46" s="79"/>
      <c r="L46" s="106"/>
      <c r="M46" s="106"/>
      <c r="N46" s="79"/>
      <c r="O46" s="106"/>
      <c r="P46" s="79"/>
      <c r="Q46" s="79"/>
      <c r="R46" s="79"/>
      <c r="S46" s="115" t="b">
        <f t="shared" si="4"/>
        <v>0</v>
      </c>
      <c r="T46" s="107"/>
      <c r="U46" s="107"/>
    </row>
    <row r="47" spans="1:21" ht="15.75" customHeight="1">
      <c r="A47" s="70" t="s">
        <v>50</v>
      </c>
      <c r="B47" s="82">
        <f>COUNTIFS(G:G,"URGENCIAS",H:H,"ENFERMERA",S:S,"CUMPLE")</f>
        <v>0</v>
      </c>
      <c r="C47" s="82">
        <f>COUNTIFS(G:G,"URGENCIAS",H:H,"ENFERMERA")</f>
        <v>0</v>
      </c>
      <c r="D47" s="6">
        <f>IFERROR(COUNTIFS(G:G,"URGENCIAS",H:H,"ENFERMERA",S:S,"CUMPLE")/COUNTIFS(G:G,"URGENCIAS",H:H,"ENFERMERA"),0)</f>
        <v>0</v>
      </c>
      <c r="E47" s="73">
        <v>45</v>
      </c>
      <c r="F47" s="116"/>
      <c r="G47" s="117"/>
      <c r="H47" s="117"/>
      <c r="I47" s="118"/>
      <c r="J47" s="81"/>
      <c r="K47" s="79"/>
      <c r="L47" s="106"/>
      <c r="M47" s="106"/>
      <c r="N47" s="79"/>
      <c r="O47" s="106"/>
      <c r="P47" s="79"/>
      <c r="Q47" s="79"/>
      <c r="R47" s="79"/>
      <c r="S47" s="82" t="b">
        <f t="shared" ref="S47:S58" si="8">IF(I47="CONTACTO",IF(COUNTIF(J47,"NO")+COUNTIF(K47,"SI")+COUNTIF(L47,"NO")+COUNTIF(M47,"NO")+COUNTIF(R47,"NO")=0,"CUMPLE","NO CUMPLE"),IF(I47="VIA AEREA",IF(COUNTIF(K47,"SI")+COUNTIF(L47,"NO")+(COUNTIF(N47,"ALTA EFICIENCIA")-1)+COUNTIF(R47,"NO")=0,"CUMPLE","NO CUMPLE"),IF(I47="VIA AEREA",IF(COUNTIF(J47,"NO")+COUNTIF(K47,"SI")+COUNTIF(L47,"NO")+(COUNTIF(N47,"ALTA EFICIENCIA")-1)+COUNTIF(R47,"NO")=0,"CUMPLE","NO CUMPLE"),IF(I47="GOTAS",IF(COUNTIF(J47,"NO")+COUNTIF(K47,"SI")+COUNTIF(L47,"NO")+(COUNTIF(N47,"ALTA EFICIENCIA")-1)+COUNTIF(R47,"NO")=0,"CUMPLE","NO CUMPLE"),IF(I47="COHORTIZACIÓN",IF(COUNTIF(J47,"NO")+COUNTIF(K47,"SI")+COUNTIF(L47,"NO")+COUNTIF(M47,"NO")+(COUNTIF(N47,"QUIRURGICO")-1)+COUNTIF(M77,"NA")+COUNTIF(O47,"NO")+COUNTIF(P47,"NO")+COUNTIF(Q47,"NO")+COUNTIF(R47,"NO")=0,"CUMPLE","NO CUMPLE"))))))</f>
        <v>0</v>
      </c>
      <c r="T47" s="107"/>
      <c r="U47" s="107"/>
    </row>
    <row r="48" spans="1:21" ht="15.75" customHeight="1">
      <c r="A48" s="70" t="s">
        <v>55</v>
      </c>
      <c r="B48" s="82">
        <f>COUNTIFS(G:G,"URGENCIAS",H:H,"FISIOTERAPEUTA",S:S,"CUMPLE")</f>
        <v>0</v>
      </c>
      <c r="C48" s="82">
        <f>COUNTIFS(G:G,"URGENCIAS",H:H,"FISIOTERAPEUTA")</f>
        <v>0</v>
      </c>
      <c r="D48" s="6">
        <f>IFERROR(COUNTIFS(G:G,"URGENCIAS",H:H,"FISIOTERAPEUTA",S:S,"CUMPLE")/COUNTIFS(G:G,"URGENCIAS",H:H,"FISIOTERAPEUTA"),0)</f>
        <v>0</v>
      </c>
      <c r="E48" s="73">
        <v>46</v>
      </c>
      <c r="F48" s="116"/>
      <c r="G48" s="117"/>
      <c r="H48" s="117"/>
      <c r="I48" s="118"/>
      <c r="J48" s="81"/>
      <c r="K48" s="79"/>
      <c r="L48" s="106"/>
      <c r="M48" s="106"/>
      <c r="N48" s="79"/>
      <c r="O48" s="106"/>
      <c r="P48" s="79"/>
      <c r="Q48" s="79"/>
      <c r="R48" s="79"/>
      <c r="S48" s="82" t="b">
        <f t="shared" si="8"/>
        <v>0</v>
      </c>
      <c r="T48" s="107"/>
      <c r="U48" s="107"/>
    </row>
    <row r="49" spans="1:21" ht="15.75" customHeight="1">
      <c r="A49" s="70" t="s">
        <v>40</v>
      </c>
      <c r="B49" s="82">
        <f>COUNTIFS(G:G,"URGENCIAS",H:H,"MEDICO",S:S,"CUMPLE")</f>
        <v>1</v>
      </c>
      <c r="C49" s="82">
        <f>COUNTIFS(G:G,"URGENCIAS",H:H,"MEDICO")</f>
        <v>1</v>
      </c>
      <c r="D49" s="6">
        <f>IFERROR(COUNTIFS(G:G,"URGENCIAS",H:H,"MEDICO",S:S,"CUMPLE")/COUNTIFS(G:G,"URGENCIAS",H:H,"MEDICO"),0)</f>
        <v>1</v>
      </c>
      <c r="E49" s="73">
        <v>47</v>
      </c>
      <c r="F49" s="119"/>
      <c r="G49" s="120"/>
      <c r="H49" s="121"/>
      <c r="I49" s="122"/>
      <c r="J49" s="81"/>
      <c r="K49" s="79"/>
      <c r="L49" s="123"/>
      <c r="M49" s="123"/>
      <c r="N49" s="79"/>
      <c r="O49" s="123"/>
      <c r="P49" s="79"/>
      <c r="Q49" s="79"/>
      <c r="R49" s="79"/>
      <c r="S49" s="82" t="b">
        <f t="shared" si="8"/>
        <v>0</v>
      </c>
      <c r="T49" s="124"/>
      <c r="U49" s="124"/>
    </row>
    <row r="50" spans="1:21" ht="15.75" customHeight="1">
      <c r="A50" s="70" t="s">
        <v>101</v>
      </c>
      <c r="B50" s="108"/>
      <c r="C50" s="108"/>
      <c r="D50" s="109"/>
      <c r="E50" s="73">
        <v>48</v>
      </c>
      <c r="F50" s="119"/>
      <c r="G50" s="120"/>
      <c r="H50" s="121"/>
      <c r="I50" s="122"/>
      <c r="J50" s="81"/>
      <c r="K50" s="79"/>
      <c r="L50" s="123"/>
      <c r="M50" s="123"/>
      <c r="N50" s="79"/>
      <c r="O50" s="123"/>
      <c r="P50" s="79"/>
      <c r="Q50" s="79"/>
      <c r="R50" s="79"/>
      <c r="S50" s="82" t="b">
        <f t="shared" si="8"/>
        <v>0</v>
      </c>
      <c r="T50" s="61"/>
      <c r="U50" s="61"/>
    </row>
    <row r="51" spans="1:21" ht="15.75" customHeight="1">
      <c r="A51" s="24"/>
      <c r="B51" s="24"/>
      <c r="C51" s="24"/>
      <c r="D51" s="24"/>
      <c r="E51" s="73">
        <v>49</v>
      </c>
      <c r="F51" s="119"/>
      <c r="G51" s="120"/>
      <c r="H51" s="121"/>
      <c r="I51" s="122"/>
      <c r="J51" s="81"/>
      <c r="K51" s="79"/>
      <c r="L51" s="123"/>
      <c r="M51" s="123"/>
      <c r="N51" s="79"/>
      <c r="O51" s="123"/>
      <c r="P51" s="79"/>
      <c r="Q51" s="79"/>
      <c r="R51" s="79"/>
      <c r="S51" s="82" t="b">
        <f t="shared" si="8"/>
        <v>0</v>
      </c>
      <c r="T51" s="125"/>
      <c r="U51" s="125"/>
    </row>
    <row r="52" spans="1:21" ht="15.75" customHeight="1">
      <c r="A52" s="24"/>
      <c r="B52" s="24"/>
      <c r="C52" s="24"/>
      <c r="D52" s="24"/>
      <c r="E52" s="73">
        <v>50</v>
      </c>
      <c r="F52" s="119"/>
      <c r="G52" s="120"/>
      <c r="H52" s="121"/>
      <c r="I52" s="122"/>
      <c r="J52" s="81"/>
      <c r="K52" s="79"/>
      <c r="L52" s="123"/>
      <c r="M52" s="123"/>
      <c r="N52" s="79"/>
      <c r="O52" s="123"/>
      <c r="P52" s="79"/>
      <c r="Q52" s="79"/>
      <c r="R52" s="79"/>
      <c r="S52" s="82" t="b">
        <f t="shared" si="8"/>
        <v>0</v>
      </c>
      <c r="T52" s="126"/>
      <c r="U52" s="126"/>
    </row>
    <row r="53" spans="1:21" ht="15.75" customHeight="1">
      <c r="A53" s="24"/>
      <c r="B53" s="24"/>
      <c r="C53" s="24"/>
      <c r="D53" s="24"/>
      <c r="E53" s="73">
        <v>51</v>
      </c>
      <c r="F53" s="119"/>
      <c r="G53" s="120"/>
      <c r="H53" s="121"/>
      <c r="I53" s="122"/>
      <c r="J53" s="81"/>
      <c r="K53" s="79"/>
      <c r="L53" s="123"/>
      <c r="M53" s="123"/>
      <c r="N53" s="79"/>
      <c r="O53" s="123"/>
      <c r="P53" s="123"/>
      <c r="Q53" s="79"/>
      <c r="R53" s="79"/>
      <c r="S53" s="82" t="b">
        <f t="shared" si="8"/>
        <v>0</v>
      </c>
      <c r="T53" s="127"/>
      <c r="U53" s="127"/>
    </row>
    <row r="54" spans="1:21" ht="15.75" customHeight="1">
      <c r="A54" s="24"/>
      <c r="B54" s="24"/>
      <c r="C54" s="24"/>
      <c r="D54" s="24"/>
      <c r="E54" s="73">
        <v>52</v>
      </c>
      <c r="F54" s="119"/>
      <c r="G54" s="120"/>
      <c r="H54" s="121"/>
      <c r="I54" s="122"/>
      <c r="J54" s="81"/>
      <c r="K54" s="79"/>
      <c r="L54" s="123"/>
      <c r="M54" s="123"/>
      <c r="N54" s="79"/>
      <c r="O54" s="123"/>
      <c r="P54" s="123"/>
      <c r="Q54" s="79"/>
      <c r="R54" s="79"/>
      <c r="S54" s="82" t="b">
        <f t="shared" si="8"/>
        <v>0</v>
      </c>
      <c r="T54" s="126"/>
      <c r="U54" s="126"/>
    </row>
    <row r="55" spans="1:21" ht="15.75" customHeight="1">
      <c r="A55" s="24"/>
      <c r="B55" s="24"/>
      <c r="C55" s="24"/>
      <c r="D55" s="24"/>
      <c r="E55" s="73">
        <v>53</v>
      </c>
      <c r="F55" s="119"/>
      <c r="G55" s="120"/>
      <c r="H55" s="121"/>
      <c r="I55" s="122"/>
      <c r="J55" s="81"/>
      <c r="K55" s="79"/>
      <c r="L55" s="123"/>
      <c r="M55" s="123"/>
      <c r="N55" s="79"/>
      <c r="O55" s="123"/>
      <c r="P55" s="123"/>
      <c r="Q55" s="79"/>
      <c r="R55" s="79"/>
      <c r="S55" s="82" t="b">
        <f t="shared" si="8"/>
        <v>0</v>
      </c>
      <c r="T55" s="126"/>
      <c r="U55" s="126"/>
    </row>
    <row r="56" spans="1:21" ht="15.75" customHeight="1">
      <c r="A56" s="24"/>
      <c r="B56" s="24"/>
      <c r="C56" s="24"/>
      <c r="D56" s="24"/>
      <c r="E56" s="73">
        <v>54</v>
      </c>
      <c r="F56" s="119"/>
      <c r="G56" s="120"/>
      <c r="H56" s="121"/>
      <c r="I56" s="122"/>
      <c r="J56" s="81"/>
      <c r="K56" s="123"/>
      <c r="L56" s="123"/>
      <c r="M56" s="123"/>
      <c r="N56" s="79"/>
      <c r="O56" s="123"/>
      <c r="P56" s="123"/>
      <c r="Q56" s="79"/>
      <c r="R56" s="79"/>
      <c r="S56" s="82" t="b">
        <f t="shared" si="8"/>
        <v>0</v>
      </c>
      <c r="T56" s="126"/>
      <c r="U56" s="126"/>
    </row>
    <row r="57" spans="1:21" ht="15.75" customHeight="1">
      <c r="A57" s="24"/>
      <c r="B57" s="24"/>
      <c r="C57" s="24"/>
      <c r="D57" s="24"/>
      <c r="E57" s="73">
        <v>55</v>
      </c>
      <c r="F57" s="119"/>
      <c r="G57" s="120"/>
      <c r="H57" s="121"/>
      <c r="I57" s="122"/>
      <c r="J57" s="81"/>
      <c r="K57" s="123"/>
      <c r="L57" s="123"/>
      <c r="M57" s="123"/>
      <c r="N57" s="79"/>
      <c r="O57" s="123"/>
      <c r="P57" s="123"/>
      <c r="Q57" s="79"/>
      <c r="R57" s="79"/>
      <c r="S57" s="82" t="b">
        <f t="shared" si="8"/>
        <v>0</v>
      </c>
      <c r="T57" s="126"/>
      <c r="U57" s="126"/>
    </row>
    <row r="58" spans="1:21" ht="15.75" customHeight="1">
      <c r="A58" s="24"/>
      <c r="B58" s="24"/>
      <c r="C58" s="24"/>
      <c r="D58" s="24"/>
      <c r="E58" s="73">
        <v>56</v>
      </c>
      <c r="F58" s="119"/>
      <c r="G58" s="120"/>
      <c r="H58" s="121"/>
      <c r="I58" s="122"/>
      <c r="J58" s="81"/>
      <c r="K58" s="123"/>
      <c r="L58" s="123"/>
      <c r="M58" s="123"/>
      <c r="N58" s="79"/>
      <c r="O58" s="123"/>
      <c r="P58" s="123"/>
      <c r="Q58" s="79"/>
      <c r="R58" s="79"/>
      <c r="S58" s="82" t="b">
        <f t="shared" si="8"/>
        <v>0</v>
      </c>
      <c r="T58" s="126"/>
      <c r="U58" s="126"/>
    </row>
    <row r="59" spans="1:21" ht="15.75" customHeight="1">
      <c r="A59" s="24"/>
      <c r="B59" s="24"/>
      <c r="C59" s="24"/>
      <c r="D59" s="24"/>
      <c r="E59" s="73">
        <v>57</v>
      </c>
      <c r="F59" s="119"/>
      <c r="G59" s="120"/>
      <c r="H59" s="121"/>
      <c r="I59" s="122"/>
      <c r="J59" s="81"/>
      <c r="K59" s="123"/>
      <c r="L59" s="123"/>
      <c r="M59" s="123"/>
      <c r="N59" s="123"/>
      <c r="O59" s="123"/>
      <c r="P59" s="123"/>
      <c r="Q59" s="79"/>
      <c r="R59" s="123"/>
      <c r="S59" s="82" t="b">
        <f t="shared" ref="S59:S69" si="9">IF(I59="CONTACTO",IF(COUNTIF(J59,"NO")+COUNTIF(K59,"SI")+COUNTIF(L59,"NO")+COUNTIF(M59,"NO")+COUNTIF(R59,"NO")=0,"CUMPLE","NO CUMPLE"),IF(I59="VIA AEREA",IF(COUNTIF(K59,"SI")+COUNTIF(L59,"NO")+(COUNTIF(N59,"ALTA EFICIENCIA")-1)+COUNTIF(R59,"NO")=0,"CUMPLE","NO CUMPLE"),IF(I59="VIA AEREA",IF(COUNTIF(J59,"NO")+COUNTIF(K59,"SI")+COUNTIF(L59,"NO")+(COUNTIF(N59,"ALTA EFICIENCIA")-1)+COUNTIF(R59,"NO")=0,"CUMPLE","NO CUMPLE"),IF(I59="GOTAS",IF(COUNTIF(J59,"NO")+COUNTIF(K59,"SI")+COUNTIF(L59,"NO")+(COUNTIF(N59,"QUIRURGICO")-1)+COUNTIF(R59,"NO")=0,"CUMPLE","NO CUMPLE"),IF(I59="COHORTIZACIÓN",IF(COUNTIF(J59,"NO")+COUNTIF(K59,"SI")+COUNTIF(L59,"NO")+COUNTIF(M59,"NO")+(COUNTIF(N59,"QUIRURGICO")-1)+COUNTIF(M89,"NA")+COUNTIF(O59,"NO")+COUNTIF(P59,"NO")+COUNTIF(Q59,"NO")+COUNTIF(R59,"NO")=0,"CUMPLE","NO CUMPLE"))))))</f>
        <v>0</v>
      </c>
      <c r="T59" s="128"/>
      <c r="U59" s="128"/>
    </row>
    <row r="60" spans="1:21" ht="15.75" customHeight="1">
      <c r="A60" s="24"/>
      <c r="B60" s="24"/>
      <c r="C60" s="24"/>
      <c r="D60" s="24"/>
      <c r="E60" s="73">
        <v>58</v>
      </c>
      <c r="F60" s="119"/>
      <c r="G60" s="120"/>
      <c r="H60" s="121"/>
      <c r="I60" s="122"/>
      <c r="J60" s="81"/>
      <c r="K60" s="123"/>
      <c r="L60" s="123"/>
      <c r="M60" s="123"/>
      <c r="N60" s="123"/>
      <c r="O60" s="123"/>
      <c r="P60" s="123"/>
      <c r="Q60" s="79"/>
      <c r="R60" s="123"/>
      <c r="S60" s="82" t="b">
        <f t="shared" si="9"/>
        <v>0</v>
      </c>
      <c r="T60" s="126"/>
      <c r="U60" s="126"/>
    </row>
    <row r="61" spans="1:21" ht="15.75" customHeight="1">
      <c r="A61" s="24"/>
      <c r="B61" s="24"/>
      <c r="C61" s="24"/>
      <c r="D61" s="24"/>
      <c r="E61" s="73">
        <v>59</v>
      </c>
      <c r="F61" s="119"/>
      <c r="G61" s="120"/>
      <c r="H61" s="121"/>
      <c r="I61" s="122"/>
      <c r="J61" s="81"/>
      <c r="K61" s="123"/>
      <c r="L61" s="123"/>
      <c r="M61" s="123"/>
      <c r="N61" s="123"/>
      <c r="O61" s="123"/>
      <c r="P61" s="123"/>
      <c r="Q61" s="79"/>
      <c r="R61" s="123"/>
      <c r="S61" s="82" t="b">
        <f t="shared" si="9"/>
        <v>0</v>
      </c>
      <c r="T61" s="126"/>
      <c r="U61" s="126"/>
    </row>
    <row r="62" spans="1:21" ht="15.75" customHeight="1">
      <c r="A62" s="24"/>
      <c r="B62" s="24"/>
      <c r="C62" s="24"/>
      <c r="D62" s="24"/>
      <c r="E62" s="73">
        <v>60</v>
      </c>
      <c r="F62" s="119"/>
      <c r="G62" s="120"/>
      <c r="H62" s="121"/>
      <c r="I62" s="122"/>
      <c r="J62" s="81"/>
      <c r="K62" s="123"/>
      <c r="L62" s="123"/>
      <c r="M62" s="123"/>
      <c r="N62" s="123"/>
      <c r="O62" s="123"/>
      <c r="P62" s="123"/>
      <c r="Q62" s="79"/>
      <c r="R62" s="123"/>
      <c r="S62" s="82" t="b">
        <f t="shared" si="9"/>
        <v>0</v>
      </c>
      <c r="T62" s="128"/>
      <c r="U62" s="128"/>
    </row>
    <row r="63" spans="1:21" ht="15.75" customHeight="1">
      <c r="A63" s="24"/>
      <c r="B63" s="24"/>
      <c r="C63" s="24"/>
      <c r="D63" s="24"/>
      <c r="E63" s="73">
        <v>61</v>
      </c>
      <c r="F63" s="119"/>
      <c r="G63" s="120"/>
      <c r="H63" s="121"/>
      <c r="I63" s="122"/>
      <c r="J63" s="81"/>
      <c r="K63" s="123"/>
      <c r="L63" s="123"/>
      <c r="M63" s="123"/>
      <c r="N63" s="123"/>
      <c r="O63" s="123"/>
      <c r="P63" s="123"/>
      <c r="Q63" s="79"/>
      <c r="R63" s="123"/>
      <c r="S63" s="82" t="b">
        <f t="shared" si="9"/>
        <v>0</v>
      </c>
      <c r="T63" s="128"/>
      <c r="U63" s="128"/>
    </row>
    <row r="64" spans="1:21" ht="15.75" customHeight="1">
      <c r="A64" s="24"/>
      <c r="B64" s="24"/>
      <c r="C64" s="24"/>
      <c r="D64" s="24"/>
      <c r="E64" s="73">
        <v>62</v>
      </c>
      <c r="F64" s="119"/>
      <c r="G64" s="120"/>
      <c r="H64" s="121"/>
      <c r="I64" s="122"/>
      <c r="J64" s="81"/>
      <c r="K64" s="123"/>
      <c r="L64" s="123"/>
      <c r="M64" s="123"/>
      <c r="N64" s="123"/>
      <c r="O64" s="123"/>
      <c r="P64" s="123"/>
      <c r="Q64" s="79"/>
      <c r="R64" s="123"/>
      <c r="S64" s="82" t="b">
        <f t="shared" si="9"/>
        <v>0</v>
      </c>
      <c r="T64" s="126"/>
      <c r="U64" s="126"/>
    </row>
    <row r="65" spans="1:21" ht="15.75" customHeight="1">
      <c r="A65" s="24"/>
      <c r="B65" s="24"/>
      <c r="C65" s="24"/>
      <c r="D65" s="24"/>
      <c r="E65" s="73">
        <v>63</v>
      </c>
      <c r="F65" s="119"/>
      <c r="G65" s="120"/>
      <c r="H65" s="121"/>
      <c r="I65" s="122"/>
      <c r="J65" s="81"/>
      <c r="K65" s="123"/>
      <c r="L65" s="123"/>
      <c r="M65" s="123"/>
      <c r="N65" s="123"/>
      <c r="O65" s="123"/>
      <c r="P65" s="123"/>
      <c r="Q65" s="79"/>
      <c r="R65" s="123"/>
      <c r="S65" s="82" t="b">
        <f t="shared" si="9"/>
        <v>0</v>
      </c>
      <c r="T65" s="128"/>
      <c r="U65" s="128"/>
    </row>
    <row r="66" spans="1:21" ht="15.75" customHeight="1">
      <c r="A66" s="24"/>
      <c r="B66" s="24"/>
      <c r="C66" s="24"/>
      <c r="D66" s="24"/>
      <c r="E66" s="73">
        <v>64</v>
      </c>
      <c r="F66" s="119"/>
      <c r="G66" s="120"/>
      <c r="H66" s="121"/>
      <c r="I66" s="122"/>
      <c r="J66" s="81"/>
      <c r="K66" s="123"/>
      <c r="L66" s="123"/>
      <c r="M66" s="123"/>
      <c r="N66" s="123"/>
      <c r="O66" s="123"/>
      <c r="P66" s="123"/>
      <c r="Q66" s="79"/>
      <c r="R66" s="123"/>
      <c r="S66" s="82" t="b">
        <f t="shared" si="9"/>
        <v>0</v>
      </c>
      <c r="T66" s="126"/>
      <c r="U66" s="126"/>
    </row>
    <row r="67" spans="1:21" ht="15.75" customHeight="1">
      <c r="A67" s="24"/>
      <c r="B67" s="24"/>
      <c r="C67" s="24"/>
      <c r="D67" s="24"/>
      <c r="E67" s="73">
        <v>65</v>
      </c>
      <c r="F67" s="119"/>
      <c r="G67" s="120"/>
      <c r="H67" s="121"/>
      <c r="I67" s="122"/>
      <c r="J67" s="81"/>
      <c r="K67" s="123"/>
      <c r="L67" s="123"/>
      <c r="M67" s="123"/>
      <c r="N67" s="123"/>
      <c r="O67" s="123"/>
      <c r="P67" s="123"/>
      <c r="Q67" s="79"/>
      <c r="R67" s="123"/>
      <c r="S67" s="82" t="b">
        <f t="shared" si="9"/>
        <v>0</v>
      </c>
      <c r="T67" s="127"/>
      <c r="U67" s="127"/>
    </row>
    <row r="68" spans="1:21" ht="15.75" customHeight="1">
      <c r="A68" s="24"/>
      <c r="B68" s="24"/>
      <c r="C68" s="24"/>
      <c r="D68" s="24"/>
      <c r="E68" s="73">
        <v>66</v>
      </c>
      <c r="F68" s="119"/>
      <c r="G68" s="120"/>
      <c r="H68" s="121"/>
      <c r="I68" s="122"/>
      <c r="J68" s="81"/>
      <c r="K68" s="123"/>
      <c r="L68" s="123"/>
      <c r="M68" s="123"/>
      <c r="N68" s="123"/>
      <c r="O68" s="123"/>
      <c r="P68" s="123"/>
      <c r="Q68" s="79"/>
      <c r="R68" s="123"/>
      <c r="S68" s="82" t="b">
        <f t="shared" si="9"/>
        <v>0</v>
      </c>
      <c r="T68" s="126"/>
      <c r="U68" s="126"/>
    </row>
    <row r="69" spans="1:21" ht="15.75" customHeight="1">
      <c r="A69" s="24"/>
      <c r="B69" s="24"/>
      <c r="C69" s="24"/>
      <c r="D69" s="24"/>
      <c r="E69" s="73">
        <v>67</v>
      </c>
      <c r="F69" s="119"/>
      <c r="G69" s="120"/>
      <c r="H69" s="121"/>
      <c r="I69" s="122"/>
      <c r="J69" s="123"/>
      <c r="K69" s="123"/>
      <c r="L69" s="123"/>
      <c r="M69" s="123"/>
      <c r="N69" s="123"/>
      <c r="O69" s="123"/>
      <c r="P69" s="123"/>
      <c r="Q69" s="123"/>
      <c r="R69" s="123"/>
      <c r="S69" s="82" t="b">
        <f t="shared" si="9"/>
        <v>0</v>
      </c>
      <c r="T69" s="126"/>
      <c r="U69" s="126"/>
    </row>
    <row r="70" spans="1:21" ht="15.75" customHeight="1">
      <c r="A70" s="24"/>
      <c r="B70" s="24"/>
      <c r="C70" s="24"/>
      <c r="D70" s="24"/>
      <c r="E70" s="129"/>
    </row>
    <row r="71" spans="1:21" ht="15.75" customHeight="1">
      <c r="A71" s="24"/>
      <c r="B71" s="24"/>
      <c r="C71" s="24"/>
      <c r="D71" s="24"/>
      <c r="E71" s="73">
        <v>68</v>
      </c>
      <c r="F71" s="119"/>
      <c r="G71" s="120"/>
      <c r="H71" s="121"/>
      <c r="I71" s="122"/>
      <c r="J71" s="123"/>
      <c r="K71" s="123"/>
      <c r="L71" s="123"/>
      <c r="M71" s="123"/>
      <c r="N71" s="123"/>
      <c r="O71" s="123"/>
      <c r="P71" s="123"/>
      <c r="Q71" s="123"/>
      <c r="R71" s="123"/>
      <c r="S71" s="82" t="b">
        <f t="shared" ref="S71:S102" si="10">IF(I71="CONTACTO",IF(COUNTIF(J71,"NO")+COUNTIF(K71,"SI")+COUNTIF(L71,"NO")+COUNTIF(M71,"NO")+COUNTIF(R71,"NO")=0,"CUMPLE","NO CUMPLE"),IF(I71="VIA AEREA",IF(COUNTIF(K71,"SI")+COUNTIF(L71,"NO")+(COUNTIF(N71,"ALTA EFICIENCIA")-1)+COUNTIF(R71,"NO")=0,"CUMPLE","NO CUMPLE"),IF(I71="VIA AEREA",IF(COUNTIF(J71,"NO")+COUNTIF(K71,"SI")+COUNTIF(L71,"NO")+(COUNTIF(N71,"ALTA EFICIENCIA")-1)+COUNTIF(R71,"NO")=0,"CUMPLE","NO CUMPLE"),IF(I71="GOTAS",IF(COUNTIF(J71,"NO")+COUNTIF(K71,"SI")+COUNTIF(L71,"NO")+(COUNTIF(N71,"QUIRURGICO")-1)+COUNTIF(R71,"NO")=0,"CUMPLE","NO CUMPLE"),IF(I71="COHORTIZACIÓN",IF(COUNTIF(J71,"NO")+COUNTIF(K71,"SI")+COUNTIF(L71,"NO")+COUNTIF(M71,"NO")+(COUNTIF(N71,"QUIRURGICO")-1)+COUNTIF(M100,"NA")+COUNTIF(O71,"NO")+COUNTIF(P71,"NO")+COUNTIF(Q71,"NO")+COUNTIF(R71,"NO")=0,"CUMPLE","NO CUMPLE"))))))</f>
        <v>0</v>
      </c>
      <c r="T71" s="126"/>
      <c r="U71" s="126"/>
    </row>
    <row r="72" spans="1:21" ht="15.75" customHeight="1">
      <c r="A72" s="24"/>
      <c r="B72" s="24"/>
      <c r="C72" s="24"/>
      <c r="D72" s="24"/>
      <c r="E72" s="73">
        <v>69</v>
      </c>
      <c r="F72" s="119"/>
      <c r="G72" s="120"/>
      <c r="H72" s="121"/>
      <c r="I72" s="122"/>
      <c r="J72" s="123"/>
      <c r="K72" s="123"/>
      <c r="L72" s="123"/>
      <c r="M72" s="123"/>
      <c r="N72" s="123"/>
      <c r="O72" s="123"/>
      <c r="P72" s="123"/>
      <c r="Q72" s="123"/>
      <c r="R72" s="123"/>
      <c r="S72" s="82" t="b">
        <f t="shared" si="10"/>
        <v>0</v>
      </c>
      <c r="T72" s="126"/>
      <c r="U72" s="126"/>
    </row>
    <row r="73" spans="1:21" ht="15.75" customHeight="1">
      <c r="A73" s="24"/>
      <c r="B73" s="24"/>
      <c r="C73" s="24"/>
      <c r="D73" s="24"/>
      <c r="E73" s="73">
        <v>70</v>
      </c>
      <c r="F73" s="119"/>
      <c r="G73" s="120"/>
      <c r="H73" s="121"/>
      <c r="I73" s="122"/>
      <c r="J73" s="123"/>
      <c r="K73" s="123"/>
      <c r="L73" s="123"/>
      <c r="M73" s="123"/>
      <c r="N73" s="123"/>
      <c r="O73" s="123"/>
      <c r="P73" s="123"/>
      <c r="Q73" s="123"/>
      <c r="R73" s="123"/>
      <c r="S73" s="82" t="b">
        <f t="shared" si="10"/>
        <v>0</v>
      </c>
      <c r="T73" s="126"/>
      <c r="U73" s="126"/>
    </row>
    <row r="74" spans="1:21" ht="15.75" customHeight="1">
      <c r="A74" s="24"/>
      <c r="B74" s="24"/>
      <c r="C74" s="24"/>
      <c r="D74" s="24"/>
      <c r="E74" s="73">
        <v>71</v>
      </c>
      <c r="F74" s="119"/>
      <c r="G74" s="120"/>
      <c r="H74" s="121"/>
      <c r="I74" s="122"/>
      <c r="J74" s="123"/>
      <c r="K74" s="123"/>
      <c r="L74" s="123"/>
      <c r="M74" s="123"/>
      <c r="N74" s="123"/>
      <c r="O74" s="123"/>
      <c r="P74" s="123"/>
      <c r="Q74" s="123"/>
      <c r="R74" s="123"/>
      <c r="S74" s="82" t="b">
        <f t="shared" si="10"/>
        <v>0</v>
      </c>
      <c r="T74" s="126"/>
      <c r="U74" s="126"/>
    </row>
    <row r="75" spans="1:21" ht="15.75" customHeight="1">
      <c r="A75" s="24"/>
      <c r="B75" s="24"/>
      <c r="C75" s="24"/>
      <c r="D75" s="24"/>
      <c r="E75" s="73">
        <v>72</v>
      </c>
      <c r="F75" s="119"/>
      <c r="G75" s="120"/>
      <c r="H75" s="121"/>
      <c r="I75" s="122"/>
      <c r="J75" s="123"/>
      <c r="K75" s="123"/>
      <c r="L75" s="123"/>
      <c r="M75" s="123"/>
      <c r="N75" s="123"/>
      <c r="O75" s="123"/>
      <c r="P75" s="123"/>
      <c r="Q75" s="123"/>
      <c r="R75" s="123"/>
      <c r="S75" s="82" t="b">
        <f t="shared" si="10"/>
        <v>0</v>
      </c>
      <c r="T75" s="126"/>
      <c r="U75" s="126"/>
    </row>
    <row r="76" spans="1:21" ht="15.75" customHeight="1">
      <c r="A76" s="24"/>
      <c r="B76" s="24"/>
      <c r="C76" s="24"/>
      <c r="D76" s="24"/>
      <c r="E76" s="73">
        <v>73</v>
      </c>
      <c r="F76" s="119"/>
      <c r="G76" s="120"/>
      <c r="H76" s="121"/>
      <c r="I76" s="122"/>
      <c r="J76" s="123"/>
      <c r="K76" s="123"/>
      <c r="L76" s="123"/>
      <c r="M76" s="123"/>
      <c r="N76" s="123"/>
      <c r="O76" s="123"/>
      <c r="P76" s="123"/>
      <c r="Q76" s="123"/>
      <c r="R76" s="123"/>
      <c r="S76" s="82" t="b">
        <f t="shared" si="10"/>
        <v>0</v>
      </c>
      <c r="T76" s="126"/>
      <c r="U76" s="126"/>
    </row>
    <row r="77" spans="1:21" ht="15.75" customHeight="1">
      <c r="A77" s="24"/>
      <c r="B77" s="24"/>
      <c r="C77" s="24"/>
      <c r="D77" s="24"/>
      <c r="E77" s="73">
        <v>74</v>
      </c>
      <c r="F77" s="119"/>
      <c r="G77" s="120"/>
      <c r="H77" s="121"/>
      <c r="I77" s="122"/>
      <c r="J77" s="123"/>
      <c r="K77" s="123"/>
      <c r="L77" s="123"/>
      <c r="M77" s="123"/>
      <c r="N77" s="123"/>
      <c r="O77" s="123"/>
      <c r="P77" s="123"/>
      <c r="Q77" s="123"/>
      <c r="R77" s="123"/>
      <c r="S77" s="82" t="b">
        <f t="shared" si="10"/>
        <v>0</v>
      </c>
      <c r="T77" s="126"/>
      <c r="U77" s="126"/>
    </row>
    <row r="78" spans="1:21" ht="15.75" customHeight="1">
      <c r="A78" s="24"/>
      <c r="B78" s="24"/>
      <c r="C78" s="24"/>
      <c r="D78" s="24"/>
      <c r="E78" s="73">
        <v>75</v>
      </c>
      <c r="F78" s="119"/>
      <c r="G78" s="120"/>
      <c r="H78" s="121"/>
      <c r="I78" s="122"/>
      <c r="J78" s="123"/>
      <c r="K78" s="123"/>
      <c r="L78" s="123"/>
      <c r="M78" s="123"/>
      <c r="N78" s="123"/>
      <c r="O78" s="123"/>
      <c r="P78" s="123"/>
      <c r="Q78" s="123"/>
      <c r="R78" s="123"/>
      <c r="S78" s="82" t="b">
        <f t="shared" si="10"/>
        <v>0</v>
      </c>
      <c r="T78" s="126"/>
      <c r="U78" s="126"/>
    </row>
    <row r="79" spans="1:21" ht="15.75" customHeight="1">
      <c r="A79" s="24"/>
      <c r="B79" s="24"/>
      <c r="C79" s="24"/>
      <c r="D79" s="24"/>
      <c r="E79" s="73">
        <v>76</v>
      </c>
      <c r="F79" s="119"/>
      <c r="G79" s="120"/>
      <c r="H79" s="121"/>
      <c r="I79" s="122"/>
      <c r="J79" s="123"/>
      <c r="K79" s="123"/>
      <c r="L79" s="123"/>
      <c r="M79" s="123"/>
      <c r="N79" s="123"/>
      <c r="O79" s="123"/>
      <c r="P79" s="123"/>
      <c r="Q79" s="123"/>
      <c r="R79" s="123"/>
      <c r="S79" s="82" t="b">
        <f t="shared" si="10"/>
        <v>0</v>
      </c>
      <c r="T79" s="126"/>
      <c r="U79" s="126"/>
    </row>
    <row r="80" spans="1:21" ht="15.75" customHeight="1">
      <c r="A80" s="24"/>
      <c r="B80" s="24"/>
      <c r="C80" s="24"/>
      <c r="D80" s="24"/>
      <c r="E80" s="73">
        <v>77</v>
      </c>
      <c r="F80" s="119"/>
      <c r="G80" s="120"/>
      <c r="H80" s="121"/>
      <c r="I80" s="130"/>
      <c r="J80" s="123"/>
      <c r="K80" s="123"/>
      <c r="L80" s="123"/>
      <c r="M80" s="123"/>
      <c r="N80" s="123"/>
      <c r="O80" s="123"/>
      <c r="P80" s="123"/>
      <c r="Q80" s="123"/>
      <c r="R80" s="123"/>
      <c r="S80" s="82" t="b">
        <f t="shared" si="10"/>
        <v>0</v>
      </c>
      <c r="T80" s="126"/>
      <c r="U80" s="126"/>
    </row>
    <row r="81" spans="1:21" ht="15.75" customHeight="1">
      <c r="A81" s="24"/>
      <c r="B81" s="24"/>
      <c r="C81" s="24"/>
      <c r="D81" s="24"/>
      <c r="E81" s="73">
        <v>78</v>
      </c>
      <c r="F81" s="119"/>
      <c r="G81" s="120"/>
      <c r="H81" s="121"/>
      <c r="I81" s="131"/>
      <c r="J81" s="123"/>
      <c r="K81" s="123"/>
      <c r="L81" s="123"/>
      <c r="M81" s="123"/>
      <c r="N81" s="123"/>
      <c r="O81" s="123"/>
      <c r="P81" s="123"/>
      <c r="Q81" s="123"/>
      <c r="R81" s="123"/>
      <c r="S81" s="82" t="b">
        <f t="shared" si="10"/>
        <v>0</v>
      </c>
      <c r="T81" s="126"/>
      <c r="U81" s="126"/>
    </row>
    <row r="82" spans="1:21" ht="15.75" customHeight="1">
      <c r="A82" s="24"/>
      <c r="B82" s="24"/>
      <c r="C82" s="24"/>
      <c r="D82" s="24"/>
      <c r="E82" s="73">
        <v>79</v>
      </c>
      <c r="F82" s="132"/>
      <c r="G82" s="82"/>
      <c r="H82" s="133"/>
      <c r="I82" s="82"/>
      <c r="J82" s="134"/>
      <c r="K82" s="134"/>
      <c r="L82" s="134"/>
      <c r="M82" s="134"/>
      <c r="N82" s="134"/>
      <c r="O82" s="134"/>
      <c r="P82" s="134"/>
      <c r="Q82" s="134"/>
      <c r="R82" s="134"/>
      <c r="S82" s="82" t="b">
        <f t="shared" si="10"/>
        <v>0</v>
      </c>
      <c r="T82" s="82"/>
      <c r="U82" s="82"/>
    </row>
    <row r="83" spans="1:21" ht="15.75" customHeight="1">
      <c r="A83" s="24"/>
      <c r="B83" s="24"/>
      <c r="C83" s="24"/>
      <c r="D83" s="24"/>
      <c r="E83" s="73">
        <v>80</v>
      </c>
      <c r="F83" s="135"/>
      <c r="G83" s="82"/>
      <c r="H83" s="133"/>
      <c r="I83" s="82"/>
      <c r="J83" s="136"/>
      <c r="K83" s="82"/>
      <c r="L83" s="82"/>
      <c r="M83" s="82"/>
      <c r="N83" s="82"/>
      <c r="O83" s="82"/>
      <c r="P83" s="82"/>
      <c r="Q83" s="82"/>
      <c r="R83" s="82"/>
      <c r="S83" s="82" t="b">
        <f t="shared" si="10"/>
        <v>0</v>
      </c>
      <c r="T83" s="82"/>
      <c r="U83" s="82"/>
    </row>
    <row r="84" spans="1:21" ht="15.75" customHeight="1">
      <c r="A84" s="24"/>
      <c r="B84" s="24"/>
      <c r="C84" s="24"/>
      <c r="D84" s="24"/>
      <c r="E84" s="73">
        <v>81</v>
      </c>
      <c r="F84" s="135"/>
      <c r="G84" s="82"/>
      <c r="H84" s="133"/>
      <c r="I84" s="82"/>
      <c r="J84" s="136"/>
      <c r="K84" s="82"/>
      <c r="L84" s="82"/>
      <c r="M84" s="82"/>
      <c r="N84" s="82"/>
      <c r="O84" s="82"/>
      <c r="P84" s="82"/>
      <c r="Q84" s="82"/>
      <c r="R84" s="82"/>
      <c r="S84" s="82" t="b">
        <f t="shared" si="10"/>
        <v>0</v>
      </c>
      <c r="T84" s="82"/>
      <c r="U84" s="82"/>
    </row>
    <row r="85" spans="1:21" ht="15.75" customHeight="1">
      <c r="A85" s="24"/>
      <c r="B85" s="24"/>
      <c r="C85" s="24"/>
      <c r="D85" s="24"/>
      <c r="E85" s="73">
        <v>82</v>
      </c>
      <c r="F85" s="135"/>
      <c r="G85" s="82"/>
      <c r="H85" s="133"/>
      <c r="I85" s="82"/>
      <c r="J85" s="136"/>
      <c r="K85" s="82"/>
      <c r="L85" s="82"/>
      <c r="M85" s="82"/>
      <c r="N85" s="82"/>
      <c r="O85" s="82"/>
      <c r="P85" s="82"/>
      <c r="Q85" s="82"/>
      <c r="R85" s="82"/>
      <c r="S85" s="82" t="b">
        <f t="shared" si="10"/>
        <v>0</v>
      </c>
      <c r="T85" s="82"/>
      <c r="U85" s="82"/>
    </row>
    <row r="86" spans="1:21" ht="15.75" customHeight="1">
      <c r="A86" s="24"/>
      <c r="B86" s="24"/>
      <c r="C86" s="24"/>
      <c r="D86" s="24"/>
      <c r="E86" s="73">
        <v>83</v>
      </c>
      <c r="F86" s="135"/>
      <c r="G86" s="82"/>
      <c r="H86" s="82"/>
      <c r="I86" s="82"/>
      <c r="J86" s="136"/>
      <c r="K86" s="82"/>
      <c r="L86" s="82"/>
      <c r="M86" s="82"/>
      <c r="N86" s="82"/>
      <c r="O86" s="82"/>
      <c r="P86" s="82"/>
      <c r="Q86" s="82"/>
      <c r="R86" s="82"/>
      <c r="S86" s="82" t="b">
        <f t="shared" si="10"/>
        <v>0</v>
      </c>
      <c r="T86" s="82"/>
      <c r="U86" s="82"/>
    </row>
    <row r="87" spans="1:21" ht="15.75" customHeight="1">
      <c r="A87" s="24"/>
      <c r="B87" s="24"/>
      <c r="C87" s="24"/>
      <c r="D87" s="24"/>
      <c r="E87" s="73">
        <v>84</v>
      </c>
      <c r="F87" s="135"/>
      <c r="G87" s="82"/>
      <c r="H87" s="82"/>
      <c r="I87" s="82"/>
      <c r="J87" s="136"/>
      <c r="K87" s="82"/>
      <c r="L87" s="82"/>
      <c r="M87" s="82"/>
      <c r="N87" s="82"/>
      <c r="O87" s="82"/>
      <c r="P87" s="82"/>
      <c r="Q87" s="82"/>
      <c r="R87" s="82"/>
      <c r="S87" s="82" t="b">
        <f t="shared" si="10"/>
        <v>0</v>
      </c>
      <c r="T87" s="82"/>
      <c r="U87" s="82"/>
    </row>
    <row r="88" spans="1:21" ht="15.75" customHeight="1">
      <c r="A88" s="24"/>
      <c r="B88" s="24"/>
      <c r="C88" s="24"/>
      <c r="D88" s="24"/>
      <c r="E88" s="73">
        <v>85</v>
      </c>
      <c r="F88" s="135"/>
      <c r="G88" s="82"/>
      <c r="H88" s="82"/>
      <c r="I88" s="82"/>
      <c r="J88" s="136"/>
      <c r="K88" s="82"/>
      <c r="L88" s="82"/>
      <c r="M88" s="82"/>
      <c r="N88" s="82"/>
      <c r="O88" s="82"/>
      <c r="P88" s="82"/>
      <c r="Q88" s="82"/>
      <c r="R88" s="82"/>
      <c r="S88" s="82" t="b">
        <f t="shared" si="10"/>
        <v>0</v>
      </c>
      <c r="T88" s="82"/>
      <c r="U88" s="82"/>
    </row>
    <row r="89" spans="1:21" ht="15.75" customHeight="1">
      <c r="A89" s="24"/>
      <c r="B89" s="24"/>
      <c r="C89" s="24"/>
      <c r="D89" s="24"/>
      <c r="E89" s="73">
        <v>86</v>
      </c>
      <c r="F89" s="135"/>
      <c r="G89" s="82"/>
      <c r="H89" s="82"/>
      <c r="I89" s="82"/>
      <c r="J89" s="136"/>
      <c r="K89" s="82"/>
      <c r="L89" s="82"/>
      <c r="M89" s="82"/>
      <c r="N89" s="82"/>
      <c r="O89" s="82"/>
      <c r="P89" s="82"/>
      <c r="Q89" s="82"/>
      <c r="R89" s="82"/>
      <c r="S89" s="82" t="b">
        <f t="shared" si="10"/>
        <v>0</v>
      </c>
      <c r="T89" s="82"/>
      <c r="U89" s="82"/>
    </row>
    <row r="90" spans="1:21" ht="15.75" customHeight="1">
      <c r="A90" s="24"/>
      <c r="B90" s="24"/>
      <c r="C90" s="24"/>
      <c r="D90" s="24"/>
      <c r="E90" s="73">
        <v>87</v>
      </c>
      <c r="F90" s="135"/>
      <c r="G90" s="82"/>
      <c r="H90" s="82"/>
      <c r="I90" s="82"/>
      <c r="J90" s="136"/>
      <c r="K90" s="82"/>
      <c r="L90" s="82"/>
      <c r="M90" s="82"/>
      <c r="N90" s="82"/>
      <c r="O90" s="82"/>
      <c r="P90" s="82"/>
      <c r="Q90" s="82"/>
      <c r="R90" s="82"/>
      <c r="S90" s="82" t="b">
        <f t="shared" si="10"/>
        <v>0</v>
      </c>
      <c r="T90" s="61"/>
      <c r="U90" s="61"/>
    </row>
    <row r="91" spans="1:21" ht="15.75" customHeight="1">
      <c r="A91" s="24"/>
      <c r="B91" s="24"/>
      <c r="C91" s="24"/>
      <c r="D91" s="24"/>
      <c r="E91" s="73">
        <v>88</v>
      </c>
      <c r="F91" s="135"/>
      <c r="G91" s="82"/>
      <c r="H91" s="82"/>
      <c r="I91" s="82"/>
      <c r="J91" s="136"/>
      <c r="K91" s="82"/>
      <c r="L91" s="82"/>
      <c r="M91" s="82"/>
      <c r="N91" s="82"/>
      <c r="O91" s="82"/>
      <c r="P91" s="82"/>
      <c r="Q91" s="82"/>
      <c r="R91" s="82"/>
      <c r="S91" s="82" t="b">
        <f t="shared" si="10"/>
        <v>0</v>
      </c>
      <c r="T91" s="61"/>
      <c r="U91" s="61"/>
    </row>
    <row r="92" spans="1:21" ht="15.75" customHeight="1">
      <c r="A92" s="24"/>
      <c r="B92" s="24"/>
      <c r="C92" s="24"/>
      <c r="D92" s="24"/>
      <c r="E92" s="73">
        <v>89</v>
      </c>
      <c r="F92" s="135"/>
      <c r="G92" s="82"/>
      <c r="H92" s="82"/>
      <c r="I92" s="82"/>
      <c r="J92" s="136"/>
      <c r="K92" s="82"/>
      <c r="L92" s="82"/>
      <c r="M92" s="82"/>
      <c r="N92" s="82"/>
      <c r="O92" s="82"/>
      <c r="P92" s="82"/>
      <c r="Q92" s="82"/>
      <c r="R92" s="82"/>
      <c r="S92" s="82" t="b">
        <f t="shared" si="10"/>
        <v>0</v>
      </c>
      <c r="T92" s="61"/>
      <c r="U92" s="61"/>
    </row>
    <row r="93" spans="1:21" ht="15.75" customHeight="1">
      <c r="A93" s="24"/>
      <c r="B93" s="24"/>
      <c r="C93" s="24"/>
      <c r="D93" s="24"/>
      <c r="E93" s="73">
        <v>90</v>
      </c>
      <c r="F93" s="135"/>
      <c r="G93" s="82"/>
      <c r="H93" s="82"/>
      <c r="I93" s="82"/>
      <c r="J93" s="136"/>
      <c r="K93" s="82"/>
      <c r="L93" s="82"/>
      <c r="M93" s="82"/>
      <c r="N93" s="82"/>
      <c r="O93" s="82"/>
      <c r="P93" s="82"/>
      <c r="Q93" s="82"/>
      <c r="R93" s="82"/>
      <c r="S93" s="82" t="b">
        <f t="shared" si="10"/>
        <v>0</v>
      </c>
      <c r="T93" s="61"/>
      <c r="U93" s="61"/>
    </row>
    <row r="94" spans="1:21" ht="15.75" customHeight="1">
      <c r="A94" s="24"/>
      <c r="B94" s="24"/>
      <c r="C94" s="24"/>
      <c r="D94" s="24"/>
      <c r="E94" s="73">
        <v>91</v>
      </c>
      <c r="F94" s="135"/>
      <c r="G94" s="82"/>
      <c r="H94" s="82"/>
      <c r="I94" s="82"/>
      <c r="J94" s="136"/>
      <c r="K94" s="82"/>
      <c r="L94" s="82"/>
      <c r="M94" s="82"/>
      <c r="N94" s="82"/>
      <c r="O94" s="82"/>
      <c r="P94" s="82"/>
      <c r="Q94" s="82"/>
      <c r="R94" s="82"/>
      <c r="S94" s="82" t="b">
        <f t="shared" si="10"/>
        <v>0</v>
      </c>
      <c r="T94" s="61"/>
      <c r="U94" s="61"/>
    </row>
    <row r="95" spans="1:21" ht="15.75" customHeight="1">
      <c r="A95" s="24"/>
      <c r="B95" s="24"/>
      <c r="C95" s="24"/>
      <c r="D95" s="24"/>
      <c r="E95" s="73">
        <v>92</v>
      </c>
      <c r="F95" s="135"/>
      <c r="G95" s="82"/>
      <c r="H95" s="82"/>
      <c r="I95" s="82"/>
      <c r="J95" s="136"/>
      <c r="K95" s="82"/>
      <c r="L95" s="82"/>
      <c r="M95" s="82"/>
      <c r="N95" s="82"/>
      <c r="O95" s="82"/>
      <c r="P95" s="82"/>
      <c r="Q95" s="82"/>
      <c r="R95" s="82"/>
      <c r="S95" s="82" t="b">
        <f t="shared" si="10"/>
        <v>0</v>
      </c>
      <c r="T95" s="61"/>
      <c r="U95" s="61"/>
    </row>
    <row r="96" spans="1:21" ht="15.75" customHeight="1">
      <c r="A96" s="24"/>
      <c r="B96" s="24"/>
      <c r="C96" s="24"/>
      <c r="D96" s="24"/>
      <c r="E96" s="73">
        <v>93</v>
      </c>
      <c r="F96" s="135"/>
      <c r="G96" s="82"/>
      <c r="H96" s="82"/>
      <c r="I96" s="82"/>
      <c r="J96" s="136"/>
      <c r="K96" s="82"/>
      <c r="L96" s="82"/>
      <c r="M96" s="82"/>
      <c r="N96" s="82"/>
      <c r="O96" s="82"/>
      <c r="P96" s="82"/>
      <c r="Q96" s="82"/>
      <c r="R96" s="82"/>
      <c r="S96" s="82" t="b">
        <f t="shared" si="10"/>
        <v>0</v>
      </c>
      <c r="T96" s="61"/>
      <c r="U96" s="61"/>
    </row>
    <row r="97" spans="1:21" ht="15.75" customHeight="1">
      <c r="A97" s="24"/>
      <c r="B97" s="24"/>
      <c r="C97" s="24"/>
      <c r="D97" s="24"/>
      <c r="E97" s="73">
        <v>94</v>
      </c>
      <c r="F97" s="135"/>
      <c r="G97" s="82"/>
      <c r="H97" s="82"/>
      <c r="I97" s="82"/>
      <c r="J97" s="136"/>
      <c r="K97" s="82"/>
      <c r="L97" s="82"/>
      <c r="M97" s="82"/>
      <c r="N97" s="82"/>
      <c r="O97" s="82"/>
      <c r="P97" s="82"/>
      <c r="Q97" s="82"/>
      <c r="R97" s="82"/>
      <c r="S97" s="82" t="b">
        <f t="shared" si="10"/>
        <v>0</v>
      </c>
      <c r="T97" s="61"/>
      <c r="U97" s="61"/>
    </row>
    <row r="98" spans="1:21" ht="15.75" customHeight="1">
      <c r="A98" s="24"/>
      <c r="B98" s="24"/>
      <c r="C98" s="24"/>
      <c r="D98" s="24"/>
      <c r="E98" s="73">
        <v>95</v>
      </c>
      <c r="F98" s="135"/>
      <c r="G98" s="82"/>
      <c r="H98" s="82"/>
      <c r="I98" s="82"/>
      <c r="J98" s="136"/>
      <c r="K98" s="82"/>
      <c r="L98" s="82"/>
      <c r="M98" s="82"/>
      <c r="N98" s="82"/>
      <c r="O98" s="82"/>
      <c r="P98" s="82"/>
      <c r="Q98" s="82"/>
      <c r="R98" s="82"/>
      <c r="S98" s="82" t="b">
        <f t="shared" si="10"/>
        <v>0</v>
      </c>
      <c r="T98" s="61"/>
      <c r="U98" s="61"/>
    </row>
    <row r="99" spans="1:21" ht="15.75" customHeight="1">
      <c r="A99" s="24"/>
      <c r="B99" s="24"/>
      <c r="C99" s="24"/>
      <c r="D99" s="24"/>
      <c r="E99" s="73">
        <v>96</v>
      </c>
      <c r="F99" s="135"/>
      <c r="G99" s="82"/>
      <c r="H99" s="82"/>
      <c r="I99" s="82"/>
      <c r="J99" s="136"/>
      <c r="K99" s="82"/>
      <c r="L99" s="82"/>
      <c r="M99" s="82"/>
      <c r="N99" s="82"/>
      <c r="O99" s="82"/>
      <c r="P99" s="82"/>
      <c r="Q99" s="82"/>
      <c r="R99" s="82"/>
      <c r="S99" s="82" t="b">
        <f t="shared" si="10"/>
        <v>0</v>
      </c>
      <c r="T99" s="61"/>
      <c r="U99" s="61"/>
    </row>
    <row r="100" spans="1:21" ht="15.75" customHeight="1">
      <c r="A100" s="24"/>
      <c r="B100" s="24"/>
      <c r="C100" s="24"/>
      <c r="D100" s="24"/>
      <c r="E100" s="73">
        <v>97</v>
      </c>
      <c r="F100" s="135"/>
      <c r="G100" s="82"/>
      <c r="H100" s="82"/>
      <c r="I100" s="82"/>
      <c r="J100" s="136"/>
      <c r="K100" s="82"/>
      <c r="L100" s="82"/>
      <c r="M100" s="82"/>
      <c r="N100" s="82"/>
      <c r="O100" s="82"/>
      <c r="P100" s="82"/>
      <c r="Q100" s="82"/>
      <c r="R100" s="82"/>
      <c r="S100" s="82" t="b">
        <f t="shared" si="10"/>
        <v>0</v>
      </c>
      <c r="T100" s="61"/>
      <c r="U100" s="61"/>
    </row>
    <row r="101" spans="1:21" ht="15.75" customHeight="1">
      <c r="A101" s="24"/>
      <c r="B101" s="24"/>
      <c r="C101" s="24"/>
      <c r="D101" s="24"/>
      <c r="E101" s="73">
        <v>98</v>
      </c>
      <c r="F101" s="135"/>
      <c r="G101" s="82"/>
      <c r="H101" s="82"/>
      <c r="I101" s="82"/>
      <c r="J101" s="136"/>
      <c r="K101" s="82"/>
      <c r="L101" s="82"/>
      <c r="M101" s="82"/>
      <c r="N101" s="82"/>
      <c r="O101" s="82"/>
      <c r="P101" s="82"/>
      <c r="Q101" s="82"/>
      <c r="R101" s="82"/>
      <c r="S101" s="82" t="b">
        <f t="shared" si="10"/>
        <v>0</v>
      </c>
      <c r="T101" s="61"/>
      <c r="U101" s="61"/>
    </row>
    <row r="102" spans="1:21" ht="15.75" customHeight="1">
      <c r="A102" s="24"/>
      <c r="B102" s="24"/>
      <c r="C102" s="24"/>
      <c r="D102" s="24"/>
      <c r="E102" s="73">
        <v>99</v>
      </c>
      <c r="F102" s="135"/>
      <c r="G102" s="82"/>
      <c r="H102" s="82"/>
      <c r="I102" s="82"/>
      <c r="J102" s="136"/>
      <c r="K102" s="82"/>
      <c r="L102" s="82"/>
      <c r="M102" s="82"/>
      <c r="N102" s="82"/>
      <c r="O102" s="82"/>
      <c r="P102" s="82"/>
      <c r="Q102" s="82"/>
      <c r="R102" s="82"/>
      <c r="S102" s="82" t="b">
        <f t="shared" si="10"/>
        <v>0</v>
      </c>
      <c r="T102" s="61"/>
      <c r="U102" s="61"/>
    </row>
    <row r="103" spans="1:21" ht="15.75" customHeight="1">
      <c r="A103" s="24"/>
      <c r="B103" s="24"/>
      <c r="C103" s="24"/>
      <c r="D103" s="24"/>
      <c r="E103" s="73">
        <v>100</v>
      </c>
      <c r="F103" s="135"/>
      <c r="G103" s="82"/>
      <c r="H103" s="82"/>
      <c r="I103" s="82"/>
      <c r="J103" s="136"/>
      <c r="K103" s="82"/>
      <c r="L103" s="82"/>
      <c r="M103" s="82"/>
      <c r="N103" s="82"/>
      <c r="O103" s="82"/>
      <c r="P103" s="82"/>
      <c r="Q103" s="82"/>
      <c r="R103" s="82"/>
      <c r="S103" s="24" t="b">
        <f t="shared" ref="S103:S107" si="11">IF(I103="CONTACTO",IF(COUNTIF(J103,"NO")+COUNTIF(K103,"SI")+COUNTIF(L103,"NO")+COUNTIF(M103,"NO")+COUNTIF(R103,"NO")=0,"CUMPLE","NO CUMPLE"),IF(I103="VIA AEREA",IF(COUNTIF(K103,"SI")+COUNTIF(L103,"NO")+(COUNTIF(N103,"ALTA EFICIENCIA")-1)+COUNTIF(R103,"NO")=0,"CUMPLE","NO CUMPLE"),IF(I103="VIA AEREA",IF(COUNTIF(J103,"NO")+COUNTIF(K103,"SI")+COUNTIF(L103,"NO")+(COUNTIF(N103,"ALTA EFICIENCIA")-1)+COUNTIF(R103,"NO")=0,"CUMPLE","NO CUMPLE"),IF(I103="GOTAS",IF(COUNTIF(J103,"NO")+COUNTIF(K103,"SI")+COUNTIF(L103,"NO")+(COUNTIF(N103,"QUIRURGICO")-1)+COUNTIF(R103,"NO")=0,"CUMPLE","NO CUMPLE"),IF(I103="COHORTIZACIÓN",IF(COUNTIF(J103,"NO")+COUNTIF(K103,"SI")+COUNTIF(L103,"NO")+COUNTIF(M103,"NO")+(COUNTIF(N103,"QUIRURGICO")-1)+COUNTIF(M131,"NA")+COUNTIF(O103,"NO")+COUNTIF(P103,"NO")+COUNTIF(Q103,"NO")+COUNTIF(R103,"NO")=0,"CUMPLE","NO CUMPLE"))))))</f>
        <v>0</v>
      </c>
      <c r="T103" s="61"/>
      <c r="U103" s="61"/>
    </row>
    <row r="104" spans="1:21" ht="15.75" customHeight="1">
      <c r="A104" s="24"/>
      <c r="B104" s="24"/>
      <c r="C104" s="24"/>
      <c r="D104" s="24"/>
      <c r="E104" s="73">
        <v>101</v>
      </c>
      <c r="F104" s="135"/>
      <c r="G104" s="82"/>
      <c r="H104" s="82"/>
      <c r="I104" s="82"/>
      <c r="J104" s="136"/>
      <c r="K104" s="82"/>
      <c r="L104" s="82"/>
      <c r="M104" s="82"/>
      <c r="N104" s="82"/>
      <c r="O104" s="82"/>
      <c r="P104" s="82"/>
      <c r="Q104" s="82"/>
      <c r="R104" s="82"/>
      <c r="S104" s="24" t="b">
        <f t="shared" si="11"/>
        <v>0</v>
      </c>
      <c r="T104" s="61"/>
      <c r="U104" s="61"/>
    </row>
    <row r="105" spans="1:21" ht="15.75" customHeight="1">
      <c r="A105" s="24"/>
      <c r="B105" s="24"/>
      <c r="C105" s="24"/>
      <c r="D105" s="24"/>
      <c r="E105" s="73">
        <v>102</v>
      </c>
      <c r="F105" s="135"/>
      <c r="G105" s="82"/>
      <c r="H105" s="82"/>
      <c r="I105" s="82"/>
      <c r="J105" s="136"/>
      <c r="K105" s="82"/>
      <c r="L105" s="82"/>
      <c r="M105" s="82"/>
      <c r="N105" s="82"/>
      <c r="O105" s="82"/>
      <c r="P105" s="82"/>
      <c r="Q105" s="82"/>
      <c r="R105" s="82"/>
      <c r="S105" s="24" t="b">
        <f t="shared" si="11"/>
        <v>0</v>
      </c>
      <c r="T105" s="61"/>
      <c r="U105" s="61"/>
    </row>
    <row r="106" spans="1:21" ht="15.75" customHeight="1">
      <c r="A106" s="24"/>
      <c r="B106" s="24"/>
      <c r="C106" s="24"/>
      <c r="D106" s="24"/>
      <c r="E106" s="73">
        <v>103</v>
      </c>
      <c r="F106" s="135"/>
      <c r="G106" s="82"/>
      <c r="H106" s="82"/>
      <c r="I106" s="82"/>
      <c r="J106" s="136"/>
      <c r="K106" s="82"/>
      <c r="L106" s="82"/>
      <c r="M106" s="82"/>
      <c r="N106" s="82"/>
      <c r="O106" s="82"/>
      <c r="P106" s="82"/>
      <c r="Q106" s="82"/>
      <c r="R106" s="82"/>
      <c r="S106" s="24" t="b">
        <f t="shared" si="11"/>
        <v>0</v>
      </c>
      <c r="T106" s="61"/>
      <c r="U106" s="61"/>
    </row>
    <row r="107" spans="1:21" ht="15.75" customHeight="1">
      <c r="A107" s="24"/>
      <c r="B107" s="24"/>
      <c r="C107" s="24"/>
      <c r="D107" s="24"/>
      <c r="E107" s="73">
        <v>104</v>
      </c>
      <c r="F107" s="135"/>
      <c r="G107" s="82"/>
      <c r="H107" s="82"/>
      <c r="I107" s="82"/>
      <c r="J107" s="136"/>
      <c r="K107" s="82"/>
      <c r="L107" s="82"/>
      <c r="M107" s="82"/>
      <c r="N107" s="82"/>
      <c r="O107" s="82"/>
      <c r="P107" s="82"/>
      <c r="Q107" s="82"/>
      <c r="R107" s="82"/>
      <c r="S107" s="24" t="b">
        <f t="shared" si="11"/>
        <v>0</v>
      </c>
      <c r="T107" s="61"/>
      <c r="U107" s="61"/>
    </row>
    <row r="108" spans="1:21" ht="15" customHeight="1">
      <c r="E108" s="129"/>
      <c r="J108" s="65"/>
      <c r="K108" s="65"/>
      <c r="L108" s="65"/>
      <c r="M108" s="65"/>
      <c r="O108" s="65"/>
      <c r="P108" s="65"/>
      <c r="Q108" s="65"/>
      <c r="R108" s="65"/>
    </row>
    <row r="109" spans="1:21" ht="15.75" customHeight="1">
      <c r="E109" s="129"/>
      <c r="J109" s="65"/>
      <c r="K109" s="65"/>
      <c r="L109" s="65"/>
      <c r="M109" s="65"/>
      <c r="O109" s="65"/>
      <c r="P109" s="65"/>
      <c r="Q109" s="65"/>
      <c r="R109" s="65"/>
    </row>
    <row r="110" spans="1:21" ht="15.75" customHeight="1">
      <c r="E110" s="129"/>
      <c r="J110" s="65"/>
      <c r="K110" s="65"/>
      <c r="L110" s="65"/>
      <c r="M110" s="65"/>
      <c r="O110" s="65"/>
      <c r="P110" s="65"/>
      <c r="Q110" s="65"/>
      <c r="R110" s="65"/>
    </row>
    <row r="111" spans="1:21" ht="15.75" customHeight="1">
      <c r="E111" s="129"/>
      <c r="J111" s="65"/>
      <c r="K111" s="65"/>
      <c r="L111" s="65"/>
      <c r="M111" s="65"/>
      <c r="O111" s="65"/>
      <c r="P111" s="65"/>
      <c r="Q111" s="65"/>
      <c r="R111" s="65"/>
    </row>
    <row r="112" spans="1:21" ht="15.75" customHeight="1">
      <c r="E112" s="129"/>
      <c r="J112" s="65"/>
      <c r="K112" s="65"/>
      <c r="L112" s="65"/>
      <c r="M112" s="65"/>
      <c r="O112" s="65"/>
      <c r="P112" s="65"/>
      <c r="Q112" s="65"/>
      <c r="R112" s="65"/>
    </row>
    <row r="113" spans="5:18" ht="15.75" customHeight="1">
      <c r="E113" s="129"/>
      <c r="J113" s="65"/>
      <c r="K113" s="65"/>
      <c r="L113" s="65"/>
      <c r="M113" s="65"/>
      <c r="O113" s="65"/>
      <c r="P113" s="65"/>
      <c r="Q113" s="65"/>
      <c r="R113" s="65"/>
    </row>
    <row r="114" spans="5:18" ht="15.75" customHeight="1">
      <c r="E114" s="129"/>
      <c r="J114" s="65"/>
      <c r="K114" s="65"/>
      <c r="L114" s="65"/>
      <c r="M114" s="65"/>
      <c r="O114" s="65"/>
      <c r="P114" s="65"/>
      <c r="Q114" s="65"/>
      <c r="R114" s="65"/>
    </row>
    <row r="115" spans="5:18" ht="15.75" customHeight="1">
      <c r="E115" s="129"/>
      <c r="J115" s="65"/>
      <c r="K115" s="65"/>
      <c r="L115" s="65"/>
      <c r="M115" s="65"/>
      <c r="O115" s="65"/>
      <c r="P115" s="65"/>
      <c r="Q115" s="65"/>
      <c r="R115" s="65"/>
    </row>
    <row r="116" spans="5:18" ht="15.75" customHeight="1">
      <c r="E116" s="129"/>
      <c r="J116" s="65"/>
      <c r="K116" s="65"/>
      <c r="L116" s="65"/>
      <c r="M116" s="65"/>
      <c r="O116" s="65"/>
      <c r="P116" s="65"/>
      <c r="Q116" s="65"/>
      <c r="R116" s="65"/>
    </row>
    <row r="117" spans="5:18" ht="15.75" customHeight="1">
      <c r="E117" s="129"/>
      <c r="J117" s="65"/>
      <c r="K117" s="65"/>
      <c r="L117" s="65"/>
      <c r="M117" s="65"/>
      <c r="O117" s="65"/>
      <c r="P117" s="65"/>
      <c r="Q117" s="65"/>
      <c r="R117" s="65"/>
    </row>
    <row r="118" spans="5:18" ht="15.75" customHeight="1">
      <c r="E118" s="129"/>
      <c r="J118" s="65"/>
      <c r="K118" s="65"/>
      <c r="L118" s="65"/>
      <c r="M118" s="65"/>
      <c r="O118" s="65"/>
      <c r="P118" s="65"/>
      <c r="Q118" s="65"/>
      <c r="R118" s="65"/>
    </row>
    <row r="119" spans="5:18" ht="15.75" customHeight="1">
      <c r="E119" s="129"/>
      <c r="J119" s="65"/>
      <c r="K119" s="65"/>
      <c r="L119" s="65"/>
      <c r="M119" s="65"/>
      <c r="O119" s="65"/>
      <c r="P119" s="65"/>
      <c r="Q119" s="65"/>
      <c r="R119" s="65"/>
    </row>
    <row r="120" spans="5:18" ht="15.75" customHeight="1">
      <c r="E120" s="129"/>
      <c r="J120" s="65"/>
      <c r="K120" s="65"/>
      <c r="L120" s="65"/>
      <c r="M120" s="65"/>
      <c r="O120" s="65"/>
      <c r="P120" s="65"/>
      <c r="Q120" s="65"/>
      <c r="R120" s="65"/>
    </row>
    <row r="121" spans="5:18" ht="15.75" customHeight="1">
      <c r="E121" s="129"/>
      <c r="J121" s="65"/>
      <c r="K121" s="65"/>
      <c r="L121" s="65"/>
      <c r="M121" s="65"/>
      <c r="O121" s="65"/>
      <c r="P121" s="65"/>
      <c r="Q121" s="65"/>
      <c r="R121" s="65"/>
    </row>
    <row r="122" spans="5:18" ht="15.75" customHeight="1">
      <c r="E122" s="129"/>
      <c r="J122" s="65"/>
      <c r="K122" s="65"/>
      <c r="L122" s="65"/>
      <c r="M122" s="65"/>
      <c r="O122" s="65"/>
      <c r="P122" s="65"/>
      <c r="Q122" s="65"/>
      <c r="R122" s="65"/>
    </row>
    <row r="123" spans="5:18" ht="15.75" customHeight="1">
      <c r="E123" s="129"/>
      <c r="J123" s="65"/>
      <c r="K123" s="65"/>
      <c r="L123" s="65"/>
      <c r="M123" s="65"/>
      <c r="O123" s="65"/>
      <c r="P123" s="65"/>
      <c r="Q123" s="65"/>
      <c r="R123" s="65"/>
    </row>
    <row r="124" spans="5:18" ht="15.75" customHeight="1">
      <c r="E124" s="129"/>
      <c r="J124" s="65"/>
      <c r="K124" s="65"/>
      <c r="L124" s="65"/>
      <c r="M124" s="65"/>
      <c r="O124" s="65"/>
      <c r="P124" s="65"/>
      <c r="Q124" s="65"/>
      <c r="R124" s="65"/>
    </row>
    <row r="125" spans="5:18" ht="15.75" customHeight="1">
      <c r="E125" s="129"/>
      <c r="J125" s="65"/>
      <c r="K125" s="65"/>
      <c r="L125" s="65"/>
      <c r="M125" s="65"/>
      <c r="O125" s="65"/>
      <c r="P125" s="65"/>
      <c r="Q125" s="65"/>
      <c r="R125" s="65"/>
    </row>
    <row r="126" spans="5:18" ht="15.75" customHeight="1">
      <c r="E126" s="129"/>
      <c r="J126" s="65"/>
      <c r="K126" s="65"/>
      <c r="L126" s="65"/>
      <c r="M126" s="65"/>
      <c r="O126" s="65"/>
      <c r="P126" s="65"/>
      <c r="Q126" s="65"/>
      <c r="R126" s="65"/>
    </row>
    <row r="127" spans="5:18" ht="15.75" customHeight="1">
      <c r="E127" s="129"/>
      <c r="J127" s="65"/>
      <c r="K127" s="65"/>
      <c r="L127" s="65"/>
      <c r="M127" s="65"/>
      <c r="O127" s="65"/>
      <c r="P127" s="65"/>
      <c r="Q127" s="65"/>
      <c r="R127" s="65"/>
    </row>
    <row r="128" spans="5:18" ht="15.75" customHeight="1">
      <c r="E128" s="129"/>
      <c r="J128" s="65"/>
      <c r="K128" s="65"/>
      <c r="L128" s="65"/>
      <c r="M128" s="65"/>
      <c r="O128" s="65"/>
      <c r="P128" s="65"/>
      <c r="Q128" s="65"/>
      <c r="R128" s="65"/>
    </row>
    <row r="129" spans="5:18" ht="15.75" customHeight="1">
      <c r="E129" s="129"/>
      <c r="J129" s="65"/>
      <c r="K129" s="65"/>
      <c r="L129" s="65"/>
      <c r="M129" s="65"/>
      <c r="O129" s="65"/>
      <c r="P129" s="65"/>
      <c r="Q129" s="65"/>
      <c r="R129" s="65"/>
    </row>
    <row r="130" spans="5:18" ht="15.75" customHeight="1">
      <c r="E130" s="129"/>
      <c r="J130" s="65"/>
      <c r="K130" s="65"/>
      <c r="L130" s="65"/>
      <c r="M130" s="65"/>
      <c r="O130" s="65"/>
      <c r="P130" s="65"/>
      <c r="Q130" s="65"/>
      <c r="R130" s="65"/>
    </row>
    <row r="131" spans="5:18" ht="15.75" customHeight="1">
      <c r="E131" s="129"/>
      <c r="J131" s="65"/>
      <c r="K131" s="65"/>
      <c r="L131" s="65"/>
      <c r="M131" s="65"/>
      <c r="O131" s="65"/>
      <c r="P131" s="65"/>
      <c r="Q131" s="65"/>
      <c r="R131" s="65"/>
    </row>
    <row r="132" spans="5:18" ht="15.75" customHeight="1">
      <c r="E132" s="129"/>
      <c r="J132" s="65"/>
      <c r="K132" s="65"/>
      <c r="L132" s="65"/>
      <c r="M132" s="65"/>
      <c r="O132" s="65"/>
      <c r="P132" s="65"/>
      <c r="Q132" s="65"/>
      <c r="R132" s="65"/>
    </row>
    <row r="133" spans="5:18" ht="15.75" customHeight="1">
      <c r="E133" s="129"/>
      <c r="J133" s="65"/>
      <c r="K133" s="65"/>
      <c r="L133" s="65"/>
      <c r="M133" s="65"/>
      <c r="O133" s="65"/>
      <c r="P133" s="65"/>
      <c r="Q133" s="65"/>
      <c r="R133" s="65"/>
    </row>
    <row r="134" spans="5:18" ht="15.75" customHeight="1">
      <c r="E134" s="129"/>
      <c r="J134" s="65"/>
      <c r="K134" s="65"/>
      <c r="L134" s="65"/>
      <c r="M134" s="65"/>
      <c r="O134" s="65"/>
      <c r="P134" s="65"/>
      <c r="Q134" s="65"/>
      <c r="R134" s="65"/>
    </row>
    <row r="135" spans="5:18" ht="15.75" customHeight="1">
      <c r="E135" s="129"/>
      <c r="J135" s="65"/>
      <c r="K135" s="65"/>
      <c r="L135" s="65"/>
      <c r="M135" s="65"/>
      <c r="O135" s="65"/>
      <c r="P135" s="65"/>
      <c r="Q135" s="65"/>
      <c r="R135" s="65"/>
    </row>
    <row r="136" spans="5:18" ht="15.75" customHeight="1">
      <c r="E136" s="129"/>
      <c r="J136" s="65"/>
      <c r="K136" s="65"/>
      <c r="L136" s="65"/>
      <c r="M136" s="65"/>
      <c r="O136" s="65"/>
      <c r="P136" s="65"/>
      <c r="Q136" s="65"/>
      <c r="R136" s="65"/>
    </row>
    <row r="137" spans="5:18" ht="15.75" customHeight="1">
      <c r="E137" s="129"/>
      <c r="J137" s="65"/>
      <c r="K137" s="65"/>
      <c r="L137" s="65"/>
      <c r="M137" s="65"/>
      <c r="O137" s="65"/>
      <c r="P137" s="65"/>
      <c r="Q137" s="65"/>
      <c r="R137" s="65"/>
    </row>
    <row r="138" spans="5:18" ht="15.75" customHeight="1">
      <c r="E138" s="129"/>
      <c r="J138" s="65"/>
      <c r="K138" s="65"/>
      <c r="L138" s="65"/>
      <c r="M138" s="65"/>
      <c r="O138" s="65"/>
      <c r="P138" s="65"/>
      <c r="Q138" s="65"/>
      <c r="R138" s="65"/>
    </row>
    <row r="139" spans="5:18" ht="15.75" customHeight="1">
      <c r="E139" s="129"/>
      <c r="J139" s="65"/>
      <c r="K139" s="65"/>
      <c r="L139" s="65"/>
      <c r="M139" s="65"/>
      <c r="O139" s="65"/>
      <c r="P139" s="65"/>
      <c r="Q139" s="65"/>
      <c r="R139" s="65"/>
    </row>
    <row r="140" spans="5:18" ht="15.75" customHeight="1">
      <c r="E140" s="129"/>
      <c r="J140" s="65"/>
      <c r="K140" s="65"/>
      <c r="L140" s="65"/>
      <c r="M140" s="65"/>
      <c r="O140" s="65"/>
      <c r="P140" s="65"/>
      <c r="Q140" s="65"/>
      <c r="R140" s="65"/>
    </row>
    <row r="141" spans="5:18" ht="15.75" customHeight="1">
      <c r="E141" s="129"/>
      <c r="J141" s="65"/>
      <c r="K141" s="65"/>
      <c r="L141" s="65"/>
      <c r="M141" s="65"/>
      <c r="O141" s="65"/>
      <c r="P141" s="65"/>
      <c r="Q141" s="65"/>
      <c r="R141" s="65"/>
    </row>
    <row r="142" spans="5:18" ht="15.75" customHeight="1">
      <c r="E142" s="129"/>
      <c r="J142" s="65"/>
      <c r="K142" s="65"/>
      <c r="L142" s="65"/>
      <c r="M142" s="65"/>
      <c r="O142" s="65"/>
      <c r="P142" s="65"/>
      <c r="Q142" s="65"/>
      <c r="R142" s="65"/>
    </row>
    <row r="143" spans="5:18" ht="15.75" customHeight="1">
      <c r="E143" s="129"/>
      <c r="J143" s="65"/>
      <c r="K143" s="65"/>
      <c r="L143" s="65"/>
      <c r="M143" s="65"/>
      <c r="O143" s="65"/>
      <c r="P143" s="65"/>
      <c r="Q143" s="65"/>
      <c r="R143" s="65"/>
    </row>
    <row r="144" spans="5:18" ht="15.75" customHeight="1">
      <c r="E144" s="129"/>
      <c r="J144" s="65"/>
      <c r="K144" s="65"/>
      <c r="L144" s="65"/>
      <c r="M144" s="65"/>
      <c r="O144" s="65"/>
      <c r="P144" s="65"/>
      <c r="Q144" s="65"/>
      <c r="R144" s="65"/>
    </row>
    <row r="145" spans="5:18" ht="15.75" customHeight="1">
      <c r="E145" s="129"/>
      <c r="J145" s="65"/>
      <c r="K145" s="65"/>
      <c r="L145" s="65"/>
      <c r="M145" s="65"/>
      <c r="O145" s="65"/>
      <c r="P145" s="65"/>
      <c r="Q145" s="65"/>
      <c r="R145" s="65"/>
    </row>
    <row r="146" spans="5:18" ht="15.75" customHeight="1">
      <c r="E146" s="129"/>
      <c r="J146" s="65"/>
      <c r="K146" s="65"/>
      <c r="L146" s="65"/>
      <c r="M146" s="65"/>
      <c r="O146" s="65"/>
      <c r="P146" s="65"/>
      <c r="Q146" s="65"/>
      <c r="R146" s="65"/>
    </row>
    <row r="147" spans="5:18" ht="15.75" customHeight="1">
      <c r="E147" s="129"/>
      <c r="J147" s="65"/>
      <c r="K147" s="65"/>
      <c r="L147" s="65"/>
      <c r="M147" s="65"/>
      <c r="O147" s="65"/>
      <c r="P147" s="65"/>
      <c r="Q147" s="65"/>
      <c r="R147" s="65"/>
    </row>
    <row r="148" spans="5:18" ht="15.75" customHeight="1">
      <c r="E148" s="129"/>
      <c r="J148" s="65"/>
      <c r="K148" s="65"/>
      <c r="L148" s="65"/>
      <c r="M148" s="65"/>
      <c r="O148" s="65"/>
      <c r="P148" s="65"/>
      <c r="Q148" s="65"/>
      <c r="R148" s="65"/>
    </row>
    <row r="149" spans="5:18" ht="15.75" customHeight="1">
      <c r="E149" s="129"/>
      <c r="J149" s="65"/>
      <c r="K149" s="65"/>
      <c r="L149" s="65"/>
      <c r="M149" s="65"/>
      <c r="O149" s="65"/>
      <c r="P149" s="65"/>
      <c r="Q149" s="65"/>
      <c r="R149" s="65"/>
    </row>
    <row r="150" spans="5:18" ht="15.75" customHeight="1">
      <c r="E150" s="129"/>
      <c r="J150" s="65"/>
      <c r="K150" s="65"/>
      <c r="L150" s="65"/>
      <c r="M150" s="65"/>
      <c r="O150" s="65"/>
      <c r="P150" s="65"/>
      <c r="Q150" s="65"/>
      <c r="R150" s="65"/>
    </row>
    <row r="151" spans="5:18" ht="15.75" customHeight="1">
      <c r="E151" s="129"/>
      <c r="J151" s="65"/>
      <c r="K151" s="65"/>
      <c r="L151" s="65"/>
      <c r="M151" s="65"/>
      <c r="O151" s="65"/>
      <c r="P151" s="65"/>
      <c r="Q151" s="65"/>
      <c r="R151" s="65"/>
    </row>
    <row r="152" spans="5:18" ht="15.75" customHeight="1">
      <c r="E152" s="129"/>
      <c r="J152" s="65"/>
      <c r="K152" s="65"/>
      <c r="L152" s="65"/>
      <c r="M152" s="65"/>
      <c r="O152" s="65"/>
      <c r="P152" s="65"/>
      <c r="Q152" s="65"/>
      <c r="R152" s="65"/>
    </row>
    <row r="153" spans="5:18" ht="15.75" customHeight="1">
      <c r="E153" s="129"/>
      <c r="J153" s="65"/>
      <c r="K153" s="65"/>
      <c r="L153" s="65"/>
      <c r="M153" s="65"/>
      <c r="O153" s="65"/>
      <c r="P153" s="65"/>
      <c r="Q153" s="65"/>
      <c r="R153" s="65"/>
    </row>
    <row r="154" spans="5:18" ht="15.75" customHeight="1">
      <c r="E154" s="129"/>
      <c r="J154" s="65"/>
      <c r="K154" s="65"/>
      <c r="L154" s="65"/>
      <c r="M154" s="65"/>
      <c r="O154" s="65"/>
      <c r="P154" s="65"/>
      <c r="Q154" s="65"/>
      <c r="R154" s="65"/>
    </row>
    <row r="155" spans="5:18" ht="15.75" customHeight="1">
      <c r="E155" s="129"/>
      <c r="J155" s="65"/>
      <c r="K155" s="65"/>
      <c r="L155" s="65"/>
      <c r="M155" s="65"/>
      <c r="O155" s="65"/>
      <c r="P155" s="65"/>
      <c r="Q155" s="65"/>
      <c r="R155" s="65"/>
    </row>
    <row r="156" spans="5:18" ht="15.75" customHeight="1">
      <c r="E156" s="129"/>
      <c r="J156" s="65"/>
      <c r="K156" s="65"/>
      <c r="L156" s="65"/>
      <c r="M156" s="65"/>
      <c r="O156" s="65"/>
      <c r="P156" s="65"/>
      <c r="Q156" s="65"/>
      <c r="R156" s="65"/>
    </row>
    <row r="157" spans="5:18" ht="15.75" customHeight="1">
      <c r="E157" s="129"/>
      <c r="J157" s="65"/>
      <c r="K157" s="65"/>
      <c r="L157" s="65"/>
      <c r="M157" s="65"/>
      <c r="O157" s="65"/>
      <c r="P157" s="65"/>
      <c r="Q157" s="65"/>
      <c r="R157" s="65"/>
    </row>
    <row r="158" spans="5:18" ht="15.75" customHeight="1">
      <c r="E158" s="129"/>
      <c r="J158" s="65"/>
      <c r="K158" s="65"/>
      <c r="L158" s="65"/>
      <c r="M158" s="65"/>
      <c r="O158" s="65"/>
      <c r="P158" s="65"/>
      <c r="Q158" s="65"/>
      <c r="R158" s="65"/>
    </row>
    <row r="159" spans="5:18" ht="15.75" customHeight="1">
      <c r="E159" s="129"/>
      <c r="J159" s="65"/>
      <c r="K159" s="65"/>
      <c r="L159" s="65"/>
      <c r="M159" s="65"/>
      <c r="O159" s="65"/>
      <c r="P159" s="65"/>
      <c r="Q159" s="65"/>
      <c r="R159" s="65"/>
    </row>
    <row r="160" spans="5:18" ht="15.75" customHeight="1">
      <c r="E160" s="129"/>
      <c r="J160" s="65"/>
      <c r="K160" s="65"/>
      <c r="L160" s="65"/>
      <c r="M160" s="65"/>
      <c r="O160" s="65"/>
      <c r="P160" s="65"/>
      <c r="Q160" s="65"/>
      <c r="R160" s="65"/>
    </row>
    <row r="161" spans="5:18" ht="15.75" customHeight="1">
      <c r="E161" s="129"/>
      <c r="J161" s="65"/>
      <c r="K161" s="65"/>
      <c r="L161" s="65"/>
      <c r="M161" s="65"/>
      <c r="O161" s="65"/>
      <c r="P161" s="65"/>
      <c r="Q161" s="65"/>
      <c r="R161" s="65"/>
    </row>
    <row r="162" spans="5:18" ht="15.75" customHeight="1">
      <c r="E162" s="129"/>
      <c r="J162" s="65"/>
      <c r="K162" s="65"/>
      <c r="L162" s="65"/>
      <c r="M162" s="65"/>
      <c r="O162" s="65"/>
      <c r="P162" s="65"/>
      <c r="Q162" s="65"/>
      <c r="R162" s="65"/>
    </row>
    <row r="163" spans="5:18" ht="15.75" customHeight="1">
      <c r="E163" s="129"/>
      <c r="J163" s="65"/>
      <c r="K163" s="65"/>
      <c r="L163" s="65"/>
      <c r="M163" s="65"/>
      <c r="O163" s="65"/>
      <c r="P163" s="65"/>
      <c r="Q163" s="65"/>
      <c r="R163" s="65"/>
    </row>
    <row r="164" spans="5:18" ht="15.75" customHeight="1">
      <c r="E164" s="129"/>
      <c r="J164" s="65"/>
      <c r="K164" s="65"/>
      <c r="L164" s="65"/>
      <c r="M164" s="65"/>
      <c r="O164" s="65"/>
      <c r="P164" s="65"/>
      <c r="Q164" s="65"/>
      <c r="R164" s="65"/>
    </row>
    <row r="165" spans="5:18" ht="15.75" customHeight="1">
      <c r="E165" s="129"/>
      <c r="J165" s="65"/>
      <c r="K165" s="65"/>
      <c r="L165" s="65"/>
      <c r="M165" s="65"/>
      <c r="O165" s="65"/>
      <c r="P165" s="65"/>
      <c r="Q165" s="65"/>
      <c r="R165" s="65"/>
    </row>
    <row r="166" spans="5:18" ht="15.75" customHeight="1">
      <c r="E166" s="129"/>
      <c r="J166" s="65"/>
      <c r="K166" s="65"/>
      <c r="L166" s="65"/>
      <c r="M166" s="65"/>
      <c r="O166" s="65"/>
      <c r="P166" s="65"/>
      <c r="Q166" s="65"/>
      <c r="R166" s="65"/>
    </row>
    <row r="167" spans="5:18" ht="15.75" customHeight="1">
      <c r="E167" s="129"/>
      <c r="J167" s="65"/>
      <c r="K167" s="65"/>
      <c r="L167" s="65"/>
      <c r="M167" s="65"/>
      <c r="O167" s="65"/>
      <c r="P167" s="65"/>
      <c r="Q167" s="65"/>
      <c r="R167" s="65"/>
    </row>
    <row r="168" spans="5:18" ht="15.75" customHeight="1">
      <c r="E168" s="129"/>
      <c r="J168" s="65"/>
      <c r="K168" s="65"/>
      <c r="L168" s="65"/>
      <c r="M168" s="65"/>
      <c r="O168" s="65"/>
      <c r="P168" s="65"/>
      <c r="Q168" s="65"/>
      <c r="R168" s="65"/>
    </row>
    <row r="169" spans="5:18" ht="15.75" customHeight="1">
      <c r="E169" s="129"/>
      <c r="J169" s="65"/>
      <c r="K169" s="65"/>
      <c r="L169" s="65"/>
      <c r="M169" s="65"/>
      <c r="O169" s="65"/>
      <c r="P169" s="65"/>
      <c r="Q169" s="65"/>
      <c r="R169" s="65"/>
    </row>
    <row r="170" spans="5:18" ht="15.75" customHeight="1">
      <c r="E170" s="129"/>
      <c r="J170" s="65"/>
      <c r="K170" s="65"/>
      <c r="L170" s="65"/>
      <c r="M170" s="65"/>
      <c r="O170" s="65"/>
      <c r="P170" s="65"/>
      <c r="Q170" s="65"/>
      <c r="R170" s="65"/>
    </row>
    <row r="171" spans="5:18" ht="15.75" customHeight="1">
      <c r="E171" s="129"/>
      <c r="J171" s="65"/>
      <c r="K171" s="65"/>
      <c r="L171" s="65"/>
      <c r="M171" s="65"/>
      <c r="O171" s="65"/>
      <c r="P171" s="65"/>
      <c r="Q171" s="65"/>
      <c r="R171" s="65"/>
    </row>
    <row r="172" spans="5:18" ht="15.75" customHeight="1">
      <c r="E172" s="129"/>
      <c r="J172" s="65"/>
      <c r="K172" s="65"/>
      <c r="L172" s="65"/>
      <c r="M172" s="65"/>
      <c r="O172" s="65"/>
      <c r="P172" s="65"/>
      <c r="Q172" s="65"/>
      <c r="R172" s="65"/>
    </row>
    <row r="173" spans="5:18" ht="15.75" customHeight="1">
      <c r="E173" s="129"/>
      <c r="J173" s="65"/>
      <c r="K173" s="65"/>
      <c r="L173" s="65"/>
      <c r="M173" s="65"/>
      <c r="O173" s="65"/>
      <c r="P173" s="65"/>
      <c r="Q173" s="65"/>
      <c r="R173" s="65"/>
    </row>
    <row r="174" spans="5:18" ht="15.75" customHeight="1">
      <c r="E174" s="129"/>
      <c r="J174" s="65"/>
      <c r="K174" s="65"/>
      <c r="L174" s="65"/>
      <c r="M174" s="65"/>
      <c r="O174" s="65"/>
      <c r="P174" s="65"/>
      <c r="Q174" s="65"/>
      <c r="R174" s="65"/>
    </row>
    <row r="175" spans="5:18" ht="15.75" customHeight="1">
      <c r="E175" s="129"/>
      <c r="J175" s="65"/>
      <c r="K175" s="65"/>
      <c r="L175" s="65"/>
      <c r="M175" s="65"/>
      <c r="O175" s="65"/>
      <c r="P175" s="65"/>
      <c r="Q175" s="65"/>
      <c r="R175" s="65"/>
    </row>
    <row r="176" spans="5:18" ht="15.75" customHeight="1">
      <c r="E176" s="129"/>
      <c r="J176" s="65"/>
      <c r="K176" s="65"/>
      <c r="L176" s="65"/>
      <c r="M176" s="65"/>
      <c r="O176" s="65"/>
      <c r="P176" s="65"/>
      <c r="Q176" s="65"/>
      <c r="R176" s="65"/>
    </row>
    <row r="177" spans="5:18" ht="15.75" customHeight="1">
      <c r="E177" s="129"/>
      <c r="J177" s="65"/>
      <c r="K177" s="65"/>
      <c r="L177" s="65"/>
      <c r="M177" s="65"/>
      <c r="O177" s="65"/>
      <c r="P177" s="65"/>
      <c r="Q177" s="65"/>
      <c r="R177" s="65"/>
    </row>
    <row r="178" spans="5:18" ht="15.75" customHeight="1">
      <c r="E178" s="129"/>
      <c r="J178" s="65"/>
      <c r="K178" s="65"/>
      <c r="L178" s="65"/>
      <c r="M178" s="65"/>
      <c r="O178" s="65"/>
      <c r="P178" s="65"/>
      <c r="Q178" s="65"/>
      <c r="R178" s="65"/>
    </row>
    <row r="179" spans="5:18" ht="15.75" customHeight="1">
      <c r="E179" s="129"/>
      <c r="J179" s="65"/>
      <c r="K179" s="65"/>
      <c r="L179" s="65"/>
      <c r="M179" s="65"/>
      <c r="O179" s="65"/>
      <c r="P179" s="65"/>
      <c r="Q179" s="65"/>
      <c r="R179" s="65"/>
    </row>
    <row r="180" spans="5:18" ht="15.75" customHeight="1">
      <c r="E180" s="129"/>
      <c r="J180" s="65"/>
      <c r="K180" s="65"/>
      <c r="L180" s="65"/>
      <c r="M180" s="65"/>
      <c r="O180" s="65"/>
      <c r="P180" s="65"/>
      <c r="Q180" s="65"/>
      <c r="R180" s="65"/>
    </row>
    <row r="181" spans="5:18" ht="15.75" customHeight="1">
      <c r="E181" s="129"/>
      <c r="J181" s="65"/>
      <c r="K181" s="65"/>
      <c r="L181" s="65"/>
      <c r="M181" s="65"/>
      <c r="O181" s="65"/>
      <c r="P181" s="65"/>
      <c r="Q181" s="65"/>
      <c r="R181" s="65"/>
    </row>
    <row r="182" spans="5:18" ht="15.75" customHeight="1">
      <c r="E182" s="129"/>
      <c r="J182" s="65"/>
      <c r="K182" s="65"/>
      <c r="L182" s="65"/>
      <c r="M182" s="65"/>
      <c r="O182" s="65"/>
      <c r="P182" s="65"/>
      <c r="Q182" s="65"/>
      <c r="R182" s="65"/>
    </row>
    <row r="183" spans="5:18" ht="15.75" customHeight="1">
      <c r="E183" s="129"/>
      <c r="J183" s="65"/>
      <c r="K183" s="65"/>
      <c r="L183" s="65"/>
      <c r="M183" s="65"/>
      <c r="O183" s="65"/>
      <c r="P183" s="65"/>
      <c r="Q183" s="65"/>
      <c r="R183" s="65"/>
    </row>
    <row r="184" spans="5:18" ht="15.75" customHeight="1">
      <c r="E184" s="129"/>
      <c r="J184" s="65"/>
      <c r="K184" s="65"/>
      <c r="L184" s="65"/>
      <c r="M184" s="65"/>
      <c r="O184" s="65"/>
      <c r="P184" s="65"/>
      <c r="Q184" s="65"/>
      <c r="R184" s="65"/>
    </row>
    <row r="185" spans="5:18" ht="15.75" customHeight="1">
      <c r="E185" s="129"/>
      <c r="J185" s="65"/>
      <c r="K185" s="65"/>
      <c r="L185" s="65"/>
      <c r="M185" s="65"/>
      <c r="O185" s="65"/>
      <c r="P185" s="65"/>
      <c r="Q185" s="65"/>
      <c r="R185" s="65"/>
    </row>
    <row r="186" spans="5:18" ht="15.75" customHeight="1">
      <c r="E186" s="129"/>
      <c r="J186" s="65"/>
      <c r="K186" s="65"/>
      <c r="L186" s="65"/>
      <c r="M186" s="65"/>
      <c r="O186" s="65"/>
      <c r="P186" s="65"/>
      <c r="Q186" s="65"/>
      <c r="R186" s="65"/>
    </row>
    <row r="187" spans="5:18" ht="15.75" customHeight="1">
      <c r="E187" s="129"/>
      <c r="J187" s="65"/>
      <c r="K187" s="65"/>
      <c r="L187" s="65"/>
      <c r="M187" s="65"/>
      <c r="O187" s="65"/>
      <c r="P187" s="65"/>
      <c r="Q187" s="65"/>
      <c r="R187" s="65"/>
    </row>
    <row r="188" spans="5:18" ht="15.75" customHeight="1">
      <c r="E188" s="129"/>
      <c r="J188" s="65"/>
      <c r="K188" s="65"/>
      <c r="L188" s="65"/>
      <c r="M188" s="65"/>
      <c r="O188" s="65"/>
      <c r="P188" s="65"/>
      <c r="Q188" s="65"/>
      <c r="R188" s="65"/>
    </row>
    <row r="189" spans="5:18" ht="15.75" customHeight="1">
      <c r="E189" s="129"/>
      <c r="J189" s="65"/>
      <c r="K189" s="65"/>
      <c r="L189" s="65"/>
      <c r="M189" s="65"/>
      <c r="O189" s="65"/>
      <c r="P189" s="65"/>
      <c r="Q189" s="65"/>
      <c r="R189" s="65"/>
    </row>
    <row r="190" spans="5:18" ht="15.75" customHeight="1">
      <c r="E190" s="129"/>
      <c r="J190" s="65"/>
      <c r="K190" s="65"/>
      <c r="L190" s="65"/>
      <c r="M190" s="65"/>
      <c r="O190" s="65"/>
      <c r="P190" s="65"/>
      <c r="Q190" s="65"/>
      <c r="R190" s="65"/>
    </row>
    <row r="191" spans="5:18" ht="15.75" customHeight="1">
      <c r="E191" s="129"/>
      <c r="J191" s="65"/>
      <c r="K191" s="65"/>
      <c r="L191" s="65"/>
      <c r="M191" s="65"/>
      <c r="O191" s="65"/>
      <c r="P191" s="65"/>
      <c r="Q191" s="65"/>
      <c r="R191" s="65"/>
    </row>
    <row r="192" spans="5:18" ht="15.75" customHeight="1">
      <c r="E192" s="129"/>
      <c r="J192" s="65"/>
      <c r="K192" s="65"/>
      <c r="L192" s="65"/>
      <c r="M192" s="65"/>
      <c r="O192" s="65"/>
      <c r="P192" s="65"/>
      <c r="Q192" s="65"/>
      <c r="R192" s="65"/>
    </row>
    <row r="193" spans="5:18" ht="15.75" customHeight="1">
      <c r="E193" s="129"/>
      <c r="J193" s="65"/>
      <c r="K193" s="65"/>
      <c r="L193" s="65"/>
      <c r="M193" s="65"/>
      <c r="O193" s="65"/>
      <c r="P193" s="65"/>
      <c r="Q193" s="65"/>
      <c r="R193" s="65"/>
    </row>
    <row r="194" spans="5:18" ht="15.75" customHeight="1">
      <c r="E194" s="129"/>
      <c r="J194" s="65"/>
      <c r="K194" s="65"/>
      <c r="L194" s="65"/>
      <c r="M194" s="65"/>
      <c r="O194" s="65"/>
      <c r="P194" s="65"/>
      <c r="Q194" s="65"/>
      <c r="R194" s="65"/>
    </row>
    <row r="195" spans="5:18" ht="15.75" customHeight="1">
      <c r="E195" s="129"/>
      <c r="J195" s="65"/>
      <c r="K195" s="65"/>
      <c r="L195" s="65"/>
      <c r="M195" s="65"/>
      <c r="O195" s="65"/>
      <c r="P195" s="65"/>
      <c r="Q195" s="65"/>
      <c r="R195" s="65"/>
    </row>
    <row r="196" spans="5:18" ht="15.75" customHeight="1">
      <c r="E196" s="129"/>
      <c r="J196" s="65"/>
      <c r="K196" s="65"/>
      <c r="L196" s="65"/>
      <c r="M196" s="65"/>
      <c r="O196" s="65"/>
      <c r="P196" s="65"/>
      <c r="Q196" s="65"/>
      <c r="R196" s="65"/>
    </row>
    <row r="197" spans="5:18" ht="15.75" customHeight="1">
      <c r="E197" s="129"/>
      <c r="J197" s="65"/>
      <c r="K197" s="65"/>
      <c r="L197" s="65"/>
      <c r="M197" s="65"/>
      <c r="O197" s="65"/>
      <c r="P197" s="65"/>
      <c r="Q197" s="65"/>
      <c r="R197" s="65"/>
    </row>
    <row r="198" spans="5:18" ht="15.75" customHeight="1">
      <c r="E198" s="129"/>
      <c r="J198" s="65"/>
      <c r="K198" s="65"/>
      <c r="L198" s="65"/>
      <c r="M198" s="65"/>
      <c r="O198" s="65"/>
      <c r="P198" s="65"/>
      <c r="Q198" s="65"/>
      <c r="R198" s="65"/>
    </row>
    <row r="199" spans="5:18" ht="15.75" customHeight="1">
      <c r="E199" s="129"/>
      <c r="J199" s="65"/>
      <c r="K199" s="65"/>
      <c r="L199" s="65"/>
      <c r="M199" s="65"/>
      <c r="O199" s="65"/>
      <c r="P199" s="65"/>
      <c r="Q199" s="65"/>
      <c r="R199" s="65"/>
    </row>
    <row r="200" spans="5:18" ht="15.75" customHeight="1">
      <c r="E200" s="129"/>
      <c r="J200" s="65"/>
      <c r="K200" s="65"/>
      <c r="L200" s="65"/>
      <c r="M200" s="65"/>
      <c r="O200" s="65"/>
      <c r="P200" s="65"/>
      <c r="Q200" s="65"/>
      <c r="R200" s="65"/>
    </row>
    <row r="201" spans="5:18" ht="15.75" customHeight="1">
      <c r="E201" s="129"/>
      <c r="J201" s="65"/>
      <c r="K201" s="65"/>
      <c r="L201" s="65"/>
      <c r="M201" s="65"/>
      <c r="O201" s="65"/>
      <c r="P201" s="65"/>
      <c r="Q201" s="65"/>
      <c r="R201" s="65"/>
    </row>
    <row r="202" spans="5:18" ht="15.75" customHeight="1">
      <c r="E202" s="129"/>
      <c r="J202" s="65"/>
      <c r="K202" s="65"/>
      <c r="L202" s="65"/>
      <c r="M202" s="65"/>
      <c r="O202" s="65"/>
      <c r="P202" s="65"/>
      <c r="Q202" s="65"/>
      <c r="R202" s="65"/>
    </row>
    <row r="203" spans="5:18" ht="15.75" customHeight="1">
      <c r="E203" s="129"/>
      <c r="J203" s="65"/>
      <c r="K203" s="65"/>
      <c r="L203" s="65"/>
      <c r="M203" s="65"/>
      <c r="O203" s="65"/>
      <c r="P203" s="65"/>
      <c r="Q203" s="65"/>
      <c r="R203" s="65"/>
    </row>
    <row r="204" spans="5:18" ht="15.75" customHeight="1">
      <c r="E204" s="129"/>
      <c r="J204" s="65"/>
      <c r="K204" s="65"/>
      <c r="L204" s="65"/>
      <c r="M204" s="65"/>
      <c r="O204" s="65"/>
      <c r="P204" s="65"/>
      <c r="Q204" s="65"/>
      <c r="R204" s="65"/>
    </row>
    <row r="205" spans="5:18" ht="15.75" customHeight="1">
      <c r="E205" s="129"/>
      <c r="J205" s="65"/>
      <c r="K205" s="65"/>
      <c r="L205" s="65"/>
      <c r="M205" s="65"/>
      <c r="O205" s="65"/>
      <c r="P205" s="65"/>
      <c r="Q205" s="65"/>
      <c r="R205" s="65"/>
    </row>
    <row r="206" spans="5:18" ht="15.75" customHeight="1">
      <c r="E206" s="129"/>
      <c r="J206" s="65"/>
      <c r="K206" s="65"/>
      <c r="L206" s="65"/>
      <c r="M206" s="65"/>
      <c r="O206" s="65"/>
      <c r="P206" s="65"/>
      <c r="Q206" s="65"/>
      <c r="R206" s="65"/>
    </row>
    <row r="207" spans="5:18" ht="15.75" customHeight="1">
      <c r="E207" s="129"/>
      <c r="J207" s="65"/>
      <c r="K207" s="65"/>
      <c r="L207" s="65"/>
      <c r="M207" s="65"/>
      <c r="O207" s="65"/>
      <c r="P207" s="65"/>
      <c r="Q207" s="65"/>
      <c r="R207" s="65"/>
    </row>
    <row r="208" spans="5:18" ht="15.75" customHeight="1">
      <c r="E208" s="129"/>
      <c r="J208" s="65"/>
      <c r="K208" s="65"/>
      <c r="L208" s="65"/>
      <c r="M208" s="65"/>
      <c r="O208" s="65"/>
      <c r="P208" s="65"/>
      <c r="Q208" s="65"/>
      <c r="R208" s="65"/>
    </row>
    <row r="209" spans="5:18" ht="15.75" customHeight="1">
      <c r="E209" s="129"/>
      <c r="J209" s="65"/>
      <c r="K209" s="65"/>
      <c r="L209" s="65"/>
      <c r="M209" s="65"/>
      <c r="O209" s="65"/>
      <c r="P209" s="65"/>
      <c r="Q209" s="65"/>
      <c r="R209" s="65"/>
    </row>
    <row r="210" spans="5:18" ht="15.75" customHeight="1">
      <c r="E210" s="129"/>
      <c r="J210" s="65"/>
      <c r="K210" s="65"/>
      <c r="L210" s="65"/>
      <c r="M210" s="65"/>
      <c r="O210" s="65"/>
      <c r="P210" s="65"/>
      <c r="Q210" s="65"/>
      <c r="R210" s="65"/>
    </row>
    <row r="211" spans="5:18" ht="15.75" customHeight="1">
      <c r="E211" s="129"/>
      <c r="J211" s="65"/>
      <c r="K211" s="65"/>
      <c r="L211" s="65"/>
      <c r="M211" s="65"/>
      <c r="O211" s="65"/>
      <c r="P211" s="65"/>
      <c r="Q211" s="65"/>
      <c r="R211" s="65"/>
    </row>
    <row r="212" spans="5:18" ht="15.75" customHeight="1">
      <c r="E212" s="129"/>
      <c r="J212" s="65"/>
      <c r="K212" s="65"/>
      <c r="L212" s="65"/>
      <c r="M212" s="65"/>
      <c r="O212" s="65"/>
      <c r="P212" s="65"/>
      <c r="Q212" s="65"/>
      <c r="R212" s="65"/>
    </row>
    <row r="213" spans="5:18" ht="15.75" customHeight="1">
      <c r="E213" s="129"/>
      <c r="J213" s="65"/>
      <c r="K213" s="65"/>
      <c r="L213" s="65"/>
      <c r="M213" s="65"/>
      <c r="O213" s="65"/>
      <c r="P213" s="65"/>
      <c r="Q213" s="65"/>
      <c r="R213" s="65"/>
    </row>
    <row r="214" spans="5:18" ht="15.75" customHeight="1">
      <c r="E214" s="129"/>
      <c r="J214" s="65"/>
      <c r="K214" s="65"/>
      <c r="L214" s="65"/>
      <c r="M214" s="65"/>
      <c r="O214" s="65"/>
      <c r="P214" s="65"/>
      <c r="Q214" s="65"/>
      <c r="R214" s="65"/>
    </row>
    <row r="215" spans="5:18" ht="15.75" customHeight="1">
      <c r="E215" s="129"/>
      <c r="J215" s="65"/>
      <c r="K215" s="65"/>
      <c r="L215" s="65"/>
      <c r="M215" s="65"/>
      <c r="O215" s="65"/>
      <c r="P215" s="65"/>
      <c r="Q215" s="65"/>
      <c r="R215" s="65"/>
    </row>
    <row r="216" spans="5:18" ht="15.75" customHeight="1">
      <c r="E216" s="129"/>
      <c r="J216" s="65"/>
      <c r="K216" s="65"/>
      <c r="L216" s="65"/>
      <c r="M216" s="65"/>
      <c r="O216" s="65"/>
      <c r="P216" s="65"/>
      <c r="Q216" s="65"/>
      <c r="R216" s="65"/>
    </row>
    <row r="217" spans="5:18" ht="15.75" customHeight="1">
      <c r="E217" s="129"/>
      <c r="J217" s="65"/>
      <c r="K217" s="65"/>
      <c r="L217" s="65"/>
      <c r="M217" s="65"/>
      <c r="O217" s="65"/>
      <c r="P217" s="65"/>
      <c r="Q217" s="65"/>
      <c r="R217" s="65"/>
    </row>
    <row r="218" spans="5:18" ht="15.75" customHeight="1">
      <c r="E218" s="129"/>
      <c r="J218" s="65"/>
      <c r="K218" s="65"/>
      <c r="L218" s="65"/>
      <c r="M218" s="65"/>
      <c r="O218" s="65"/>
      <c r="P218" s="65"/>
      <c r="Q218" s="65"/>
      <c r="R218" s="65"/>
    </row>
    <row r="219" spans="5:18" ht="15.75" customHeight="1">
      <c r="E219" s="129"/>
      <c r="J219" s="65"/>
      <c r="K219" s="65"/>
      <c r="L219" s="65"/>
      <c r="M219" s="65"/>
      <c r="O219" s="65"/>
      <c r="P219" s="65"/>
      <c r="Q219" s="65"/>
      <c r="R219" s="65"/>
    </row>
    <row r="220" spans="5:18" ht="15.75" customHeight="1">
      <c r="E220" s="129"/>
      <c r="J220" s="65"/>
      <c r="K220" s="65"/>
      <c r="L220" s="65"/>
      <c r="M220" s="65"/>
      <c r="O220" s="65"/>
      <c r="P220" s="65"/>
      <c r="Q220" s="65"/>
      <c r="R220" s="65"/>
    </row>
    <row r="221" spans="5:18" ht="15.75" customHeight="1">
      <c r="E221" s="129"/>
      <c r="J221" s="65"/>
      <c r="K221" s="65"/>
      <c r="L221" s="65"/>
      <c r="M221" s="65"/>
      <c r="O221" s="65"/>
      <c r="P221" s="65"/>
      <c r="Q221" s="65"/>
      <c r="R221" s="65"/>
    </row>
    <row r="222" spans="5:18" ht="15.75" customHeight="1">
      <c r="E222" s="129"/>
      <c r="J222" s="65"/>
      <c r="K222" s="65"/>
      <c r="L222" s="65"/>
      <c r="M222" s="65"/>
      <c r="O222" s="65"/>
      <c r="P222" s="65"/>
      <c r="Q222" s="65"/>
      <c r="R222" s="65"/>
    </row>
    <row r="223" spans="5:18" ht="15.75" customHeight="1">
      <c r="E223" s="129"/>
      <c r="J223" s="65"/>
      <c r="K223" s="65"/>
      <c r="L223" s="65"/>
      <c r="M223" s="65"/>
      <c r="O223" s="65"/>
      <c r="P223" s="65"/>
      <c r="Q223" s="65"/>
      <c r="R223" s="65"/>
    </row>
    <row r="224" spans="5:18" ht="15.75" customHeight="1">
      <c r="E224" s="129"/>
      <c r="J224" s="65"/>
      <c r="K224" s="65"/>
      <c r="L224" s="65"/>
      <c r="M224" s="65"/>
      <c r="O224" s="65"/>
      <c r="P224" s="65"/>
      <c r="Q224" s="65"/>
      <c r="R224" s="65"/>
    </row>
    <row r="225" spans="5:18" ht="15.75" customHeight="1">
      <c r="E225" s="129"/>
      <c r="J225" s="65"/>
      <c r="K225" s="65"/>
      <c r="L225" s="65"/>
      <c r="M225" s="65"/>
      <c r="O225" s="65"/>
      <c r="P225" s="65"/>
      <c r="Q225" s="65"/>
      <c r="R225" s="65"/>
    </row>
    <row r="226" spans="5:18" ht="15.75" customHeight="1">
      <c r="E226" s="129"/>
      <c r="J226" s="65"/>
      <c r="K226" s="65"/>
      <c r="L226" s="65"/>
      <c r="M226" s="65"/>
      <c r="O226" s="65"/>
      <c r="P226" s="65"/>
      <c r="Q226" s="65"/>
      <c r="R226" s="65"/>
    </row>
    <row r="227" spans="5:18" ht="15.75" customHeight="1">
      <c r="E227" s="129"/>
      <c r="J227" s="65"/>
      <c r="K227" s="65"/>
      <c r="L227" s="65"/>
      <c r="M227" s="65"/>
      <c r="O227" s="65"/>
      <c r="P227" s="65"/>
      <c r="Q227" s="65"/>
      <c r="R227" s="65"/>
    </row>
    <row r="228" spans="5:18" ht="15.75" customHeight="1">
      <c r="E228" s="129"/>
      <c r="J228" s="65"/>
      <c r="K228" s="65"/>
      <c r="L228" s="65"/>
      <c r="M228" s="65"/>
      <c r="O228" s="65"/>
      <c r="P228" s="65"/>
      <c r="Q228" s="65"/>
      <c r="R228" s="65"/>
    </row>
    <row r="229" spans="5:18" ht="15.75" customHeight="1">
      <c r="E229" s="129"/>
      <c r="J229" s="65"/>
      <c r="K229" s="65"/>
      <c r="L229" s="65"/>
      <c r="M229" s="65"/>
      <c r="O229" s="65"/>
      <c r="P229" s="65"/>
      <c r="Q229" s="65"/>
      <c r="R229" s="65"/>
    </row>
    <row r="230" spans="5:18" ht="15.75" customHeight="1">
      <c r="E230" s="129"/>
      <c r="J230" s="65"/>
      <c r="K230" s="65"/>
      <c r="L230" s="65"/>
      <c r="M230" s="65"/>
      <c r="O230" s="65"/>
      <c r="P230" s="65"/>
      <c r="Q230" s="65"/>
      <c r="R230" s="65"/>
    </row>
    <row r="231" spans="5:18" ht="15.75" customHeight="1">
      <c r="E231" s="129"/>
      <c r="J231" s="65"/>
      <c r="K231" s="65"/>
      <c r="L231" s="65"/>
      <c r="M231" s="65"/>
      <c r="O231" s="65"/>
      <c r="P231" s="65"/>
      <c r="Q231" s="65"/>
      <c r="R231" s="65"/>
    </row>
    <row r="232" spans="5:18" ht="15.75" customHeight="1">
      <c r="E232" s="129"/>
      <c r="J232" s="65"/>
      <c r="K232" s="65"/>
      <c r="L232" s="65"/>
      <c r="M232" s="65"/>
      <c r="O232" s="65"/>
      <c r="P232" s="65"/>
      <c r="Q232" s="65"/>
      <c r="R232" s="65"/>
    </row>
    <row r="233" spans="5:18" ht="15.75" customHeight="1">
      <c r="E233" s="129"/>
      <c r="J233" s="65"/>
      <c r="K233" s="65"/>
      <c r="L233" s="65"/>
      <c r="M233" s="65"/>
      <c r="O233" s="65"/>
      <c r="P233" s="65"/>
      <c r="Q233" s="65"/>
      <c r="R233" s="65"/>
    </row>
    <row r="234" spans="5:18" ht="15.75" customHeight="1">
      <c r="E234" s="129"/>
      <c r="J234" s="65"/>
      <c r="K234" s="65"/>
      <c r="L234" s="65"/>
      <c r="M234" s="65"/>
      <c r="O234" s="65"/>
      <c r="P234" s="65"/>
      <c r="Q234" s="65"/>
      <c r="R234" s="65"/>
    </row>
    <row r="235" spans="5:18" ht="15.75" customHeight="1">
      <c r="E235" s="129"/>
      <c r="J235" s="65"/>
      <c r="K235" s="65"/>
      <c r="L235" s="65"/>
      <c r="M235" s="65"/>
      <c r="O235" s="65"/>
      <c r="P235" s="65"/>
      <c r="Q235" s="65"/>
      <c r="R235" s="65"/>
    </row>
    <row r="236" spans="5:18" ht="15.75" customHeight="1">
      <c r="E236" s="129"/>
      <c r="J236" s="65"/>
      <c r="K236" s="65"/>
      <c r="L236" s="65"/>
      <c r="M236" s="65"/>
      <c r="O236" s="65"/>
      <c r="P236" s="65"/>
      <c r="Q236" s="65"/>
      <c r="R236" s="65"/>
    </row>
    <row r="237" spans="5:18" ht="15.75" customHeight="1">
      <c r="E237" s="129"/>
      <c r="J237" s="65"/>
      <c r="K237" s="65"/>
      <c r="L237" s="65"/>
      <c r="M237" s="65"/>
      <c r="O237" s="65"/>
      <c r="P237" s="65"/>
      <c r="Q237" s="65"/>
      <c r="R237" s="65"/>
    </row>
    <row r="238" spans="5:18" ht="15.75" customHeight="1">
      <c r="E238" s="129"/>
      <c r="J238" s="65"/>
      <c r="K238" s="65"/>
      <c r="L238" s="65"/>
      <c r="M238" s="65"/>
      <c r="O238" s="65"/>
      <c r="P238" s="65"/>
      <c r="Q238" s="65"/>
      <c r="R238" s="65"/>
    </row>
    <row r="239" spans="5:18" ht="15.75" customHeight="1">
      <c r="E239" s="129"/>
      <c r="J239" s="65"/>
      <c r="K239" s="65"/>
      <c r="L239" s="65"/>
      <c r="M239" s="65"/>
      <c r="O239" s="65"/>
      <c r="P239" s="65"/>
      <c r="Q239" s="65"/>
      <c r="R239" s="65"/>
    </row>
    <row r="240" spans="5:18" ht="15.75" customHeight="1">
      <c r="E240" s="129"/>
      <c r="J240" s="65"/>
      <c r="K240" s="65"/>
      <c r="L240" s="65"/>
      <c r="M240" s="65"/>
      <c r="O240" s="65"/>
      <c r="P240" s="65"/>
      <c r="Q240" s="65"/>
      <c r="R240" s="65"/>
    </row>
    <row r="241" spans="5:18" ht="15.75" customHeight="1">
      <c r="E241" s="129"/>
      <c r="J241" s="65"/>
      <c r="K241" s="65"/>
      <c r="L241" s="65"/>
      <c r="M241" s="65"/>
      <c r="O241" s="65"/>
      <c r="P241" s="65"/>
      <c r="Q241" s="65"/>
      <c r="R241" s="65"/>
    </row>
    <row r="242" spans="5:18" ht="15.75" customHeight="1">
      <c r="E242" s="129"/>
      <c r="J242" s="65"/>
      <c r="K242" s="65"/>
      <c r="L242" s="65"/>
      <c r="M242" s="65"/>
      <c r="O242" s="65"/>
      <c r="P242" s="65"/>
      <c r="Q242" s="65"/>
      <c r="R242" s="65"/>
    </row>
    <row r="243" spans="5:18" ht="15.75" customHeight="1">
      <c r="E243" s="129"/>
      <c r="J243" s="65"/>
      <c r="K243" s="65"/>
      <c r="L243" s="65"/>
      <c r="M243" s="65"/>
      <c r="O243" s="65"/>
      <c r="P243" s="65"/>
      <c r="Q243" s="65"/>
      <c r="R243" s="65"/>
    </row>
    <row r="244" spans="5:18" ht="15.75" customHeight="1">
      <c r="E244" s="129"/>
      <c r="J244" s="65"/>
      <c r="K244" s="65"/>
      <c r="L244" s="65"/>
      <c r="M244" s="65"/>
      <c r="O244" s="65"/>
      <c r="P244" s="65"/>
      <c r="Q244" s="65"/>
      <c r="R244" s="65"/>
    </row>
    <row r="245" spans="5:18" ht="15.75" customHeight="1">
      <c r="E245" s="129"/>
      <c r="J245" s="65"/>
      <c r="K245" s="65"/>
      <c r="L245" s="65"/>
      <c r="M245" s="65"/>
      <c r="O245" s="65"/>
      <c r="P245" s="65"/>
      <c r="Q245" s="65"/>
      <c r="R245" s="65"/>
    </row>
    <row r="246" spans="5:18" ht="15.75" customHeight="1">
      <c r="E246" s="129"/>
      <c r="J246" s="65"/>
      <c r="K246" s="65"/>
      <c r="L246" s="65"/>
      <c r="M246" s="65"/>
      <c r="O246" s="65"/>
      <c r="P246" s="65"/>
      <c r="Q246" s="65"/>
      <c r="R246" s="65"/>
    </row>
    <row r="247" spans="5:18" ht="15.75" customHeight="1">
      <c r="E247" s="129"/>
      <c r="J247" s="65"/>
      <c r="K247" s="65"/>
      <c r="L247" s="65"/>
      <c r="M247" s="65"/>
      <c r="O247" s="65"/>
      <c r="P247" s="65"/>
      <c r="Q247" s="65"/>
      <c r="R247" s="65"/>
    </row>
    <row r="248" spans="5:18" ht="15.75" customHeight="1">
      <c r="E248" s="129"/>
      <c r="J248" s="65"/>
      <c r="K248" s="65"/>
      <c r="L248" s="65"/>
      <c r="M248" s="65"/>
      <c r="O248" s="65"/>
      <c r="P248" s="65"/>
      <c r="Q248" s="65"/>
      <c r="R248" s="65"/>
    </row>
    <row r="249" spans="5:18" ht="15.75" customHeight="1">
      <c r="E249" s="129"/>
      <c r="J249" s="65"/>
      <c r="K249" s="65"/>
      <c r="L249" s="65"/>
      <c r="M249" s="65"/>
      <c r="O249" s="65"/>
      <c r="P249" s="65"/>
      <c r="Q249" s="65"/>
      <c r="R249" s="65"/>
    </row>
    <row r="250" spans="5:18" ht="15.75" customHeight="1">
      <c r="E250" s="129"/>
      <c r="J250" s="65"/>
      <c r="K250" s="65"/>
      <c r="L250" s="65"/>
      <c r="M250" s="65"/>
      <c r="O250" s="65"/>
      <c r="P250" s="65"/>
      <c r="Q250" s="65"/>
      <c r="R250" s="65"/>
    </row>
    <row r="251" spans="5:18" ht="15.75" customHeight="1">
      <c r="E251" s="129"/>
      <c r="J251" s="65"/>
      <c r="K251" s="65"/>
      <c r="L251" s="65"/>
      <c r="M251" s="65"/>
      <c r="O251" s="65"/>
      <c r="P251" s="65"/>
      <c r="Q251" s="65"/>
      <c r="R251" s="65"/>
    </row>
    <row r="252" spans="5:18" ht="15.75" customHeight="1">
      <c r="E252" s="129"/>
      <c r="J252" s="65"/>
      <c r="K252" s="65"/>
      <c r="L252" s="65"/>
      <c r="M252" s="65"/>
      <c r="O252" s="65"/>
      <c r="P252" s="65"/>
      <c r="Q252" s="65"/>
      <c r="R252" s="65"/>
    </row>
    <row r="253" spans="5:18" ht="15.75" customHeight="1">
      <c r="E253" s="129"/>
      <c r="J253" s="65"/>
      <c r="K253" s="65"/>
      <c r="L253" s="65"/>
      <c r="M253" s="65"/>
      <c r="O253" s="65"/>
      <c r="P253" s="65"/>
      <c r="Q253" s="65"/>
      <c r="R253" s="65"/>
    </row>
    <row r="254" spans="5:18" ht="15.75" customHeight="1">
      <c r="E254" s="129"/>
      <c r="J254" s="65"/>
      <c r="K254" s="65"/>
      <c r="L254" s="65"/>
      <c r="M254" s="65"/>
      <c r="O254" s="65"/>
      <c r="P254" s="65"/>
      <c r="Q254" s="65"/>
      <c r="R254" s="65"/>
    </row>
    <row r="255" spans="5:18" ht="15.75" customHeight="1">
      <c r="E255" s="129"/>
      <c r="J255" s="65"/>
      <c r="K255" s="65"/>
      <c r="L255" s="65"/>
      <c r="M255" s="65"/>
      <c r="O255" s="65"/>
      <c r="P255" s="65"/>
      <c r="Q255" s="65"/>
      <c r="R255" s="65"/>
    </row>
    <row r="256" spans="5:18" ht="15.75" customHeight="1">
      <c r="E256" s="129"/>
      <c r="J256" s="65"/>
      <c r="K256" s="65"/>
      <c r="L256" s="65"/>
      <c r="M256" s="65"/>
      <c r="O256" s="65"/>
      <c r="P256" s="65"/>
      <c r="Q256" s="65"/>
      <c r="R256" s="65"/>
    </row>
    <row r="257" spans="5:18" ht="15.75" customHeight="1">
      <c r="E257" s="129"/>
      <c r="J257" s="65"/>
      <c r="K257" s="65"/>
      <c r="L257" s="65"/>
      <c r="M257" s="65"/>
      <c r="O257" s="65"/>
      <c r="P257" s="65"/>
      <c r="Q257" s="65"/>
      <c r="R257" s="65"/>
    </row>
    <row r="258" spans="5:18" ht="15.75" customHeight="1">
      <c r="E258" s="129"/>
      <c r="J258" s="65"/>
      <c r="K258" s="65"/>
      <c r="L258" s="65"/>
      <c r="M258" s="65"/>
      <c r="O258" s="65"/>
      <c r="P258" s="65"/>
      <c r="Q258" s="65"/>
      <c r="R258" s="65"/>
    </row>
    <row r="259" spans="5:18" ht="15.75" customHeight="1">
      <c r="E259" s="129"/>
      <c r="J259" s="65"/>
      <c r="K259" s="65"/>
      <c r="L259" s="65"/>
      <c r="M259" s="65"/>
      <c r="O259" s="65"/>
      <c r="P259" s="65"/>
      <c r="Q259" s="65"/>
      <c r="R259" s="65"/>
    </row>
    <row r="260" spans="5:18" ht="15.75" customHeight="1">
      <c r="E260" s="129"/>
      <c r="J260" s="65"/>
      <c r="K260" s="65"/>
      <c r="L260" s="65"/>
      <c r="M260" s="65"/>
      <c r="O260" s="65"/>
      <c r="P260" s="65"/>
      <c r="Q260" s="65"/>
      <c r="R260" s="65"/>
    </row>
    <row r="261" spans="5:18" ht="15.75" customHeight="1">
      <c r="E261" s="129"/>
      <c r="J261" s="65"/>
      <c r="K261" s="65"/>
      <c r="L261" s="65"/>
      <c r="M261" s="65"/>
      <c r="O261" s="65"/>
      <c r="P261" s="65"/>
      <c r="Q261" s="65"/>
      <c r="R261" s="65"/>
    </row>
    <row r="262" spans="5:18" ht="15.75" customHeight="1">
      <c r="E262" s="129"/>
      <c r="J262" s="65"/>
      <c r="K262" s="65"/>
      <c r="L262" s="65"/>
      <c r="M262" s="65"/>
      <c r="O262" s="65"/>
      <c r="P262" s="65"/>
      <c r="Q262" s="65"/>
      <c r="R262" s="65"/>
    </row>
    <row r="263" spans="5:18" ht="15.75" customHeight="1">
      <c r="E263" s="129"/>
      <c r="J263" s="65"/>
      <c r="K263" s="65"/>
      <c r="L263" s="65"/>
      <c r="M263" s="65"/>
      <c r="O263" s="65"/>
      <c r="P263" s="65"/>
      <c r="Q263" s="65"/>
      <c r="R263" s="65"/>
    </row>
    <row r="264" spans="5:18" ht="15.75" customHeight="1">
      <c r="E264" s="129"/>
      <c r="J264" s="65"/>
      <c r="K264" s="65"/>
      <c r="L264" s="65"/>
      <c r="M264" s="65"/>
      <c r="O264" s="65"/>
      <c r="P264" s="65"/>
      <c r="Q264" s="65"/>
      <c r="R264" s="65"/>
    </row>
    <row r="265" spans="5:18" ht="15.75" customHeight="1">
      <c r="E265" s="129"/>
      <c r="J265" s="65"/>
      <c r="K265" s="65"/>
      <c r="L265" s="65"/>
      <c r="M265" s="65"/>
      <c r="O265" s="65"/>
      <c r="P265" s="65"/>
      <c r="Q265" s="65"/>
      <c r="R265" s="65"/>
    </row>
    <row r="266" spans="5:18" ht="15.75" customHeight="1">
      <c r="E266" s="129"/>
      <c r="J266" s="65"/>
      <c r="K266" s="65"/>
      <c r="L266" s="65"/>
      <c r="M266" s="65"/>
      <c r="O266" s="65"/>
      <c r="P266" s="65"/>
      <c r="Q266" s="65"/>
      <c r="R266" s="65"/>
    </row>
    <row r="267" spans="5:18" ht="15.75" customHeight="1">
      <c r="E267" s="129"/>
      <c r="J267" s="65"/>
      <c r="K267" s="65"/>
      <c r="L267" s="65"/>
      <c r="M267" s="65"/>
      <c r="O267" s="65"/>
      <c r="P267" s="65"/>
      <c r="Q267" s="65"/>
      <c r="R267" s="65"/>
    </row>
    <row r="268" spans="5:18" ht="15.75" customHeight="1">
      <c r="E268" s="129"/>
      <c r="J268" s="65"/>
      <c r="K268" s="65"/>
      <c r="L268" s="65"/>
      <c r="M268" s="65"/>
      <c r="O268" s="65"/>
      <c r="P268" s="65"/>
      <c r="Q268" s="65"/>
      <c r="R268" s="65"/>
    </row>
    <row r="269" spans="5:18" ht="15.75" customHeight="1">
      <c r="E269" s="129"/>
      <c r="J269" s="65"/>
      <c r="K269" s="65"/>
      <c r="L269" s="65"/>
      <c r="M269" s="65"/>
      <c r="O269" s="65"/>
      <c r="P269" s="65"/>
      <c r="Q269" s="65"/>
      <c r="R269" s="65"/>
    </row>
    <row r="270" spans="5:18" ht="15.75" customHeight="1">
      <c r="E270" s="129"/>
      <c r="J270" s="65"/>
      <c r="K270" s="65"/>
      <c r="L270" s="65"/>
      <c r="M270" s="65"/>
      <c r="O270" s="65"/>
      <c r="P270" s="65"/>
      <c r="Q270" s="65"/>
      <c r="R270" s="65"/>
    </row>
    <row r="271" spans="5:18" ht="15.75" customHeight="1">
      <c r="E271" s="129"/>
      <c r="J271" s="65"/>
      <c r="K271" s="65"/>
      <c r="L271" s="65"/>
      <c r="M271" s="65"/>
      <c r="O271" s="65"/>
      <c r="P271" s="65"/>
      <c r="Q271" s="65"/>
      <c r="R271" s="65"/>
    </row>
    <row r="272" spans="5:18" ht="15.75" customHeight="1">
      <c r="E272" s="129"/>
      <c r="J272" s="65"/>
      <c r="K272" s="65"/>
      <c r="L272" s="65"/>
      <c r="M272" s="65"/>
      <c r="O272" s="65"/>
      <c r="P272" s="65"/>
      <c r="Q272" s="65"/>
      <c r="R272" s="65"/>
    </row>
    <row r="273" spans="5:18" ht="15.75" customHeight="1">
      <c r="E273" s="129"/>
      <c r="J273" s="65"/>
      <c r="K273" s="65"/>
      <c r="L273" s="65"/>
      <c r="M273" s="65"/>
      <c r="O273" s="65"/>
      <c r="P273" s="65"/>
      <c r="Q273" s="65"/>
      <c r="R273" s="65"/>
    </row>
    <row r="274" spans="5:18" ht="15.75" customHeight="1">
      <c r="E274" s="129"/>
      <c r="J274" s="65"/>
      <c r="K274" s="65"/>
      <c r="L274" s="65"/>
      <c r="M274" s="65"/>
      <c r="O274" s="65"/>
      <c r="P274" s="65"/>
      <c r="Q274" s="65"/>
      <c r="R274" s="65"/>
    </row>
    <row r="275" spans="5:18" ht="15.75" customHeight="1">
      <c r="E275" s="129"/>
      <c r="J275" s="65"/>
      <c r="K275" s="65"/>
      <c r="L275" s="65"/>
      <c r="M275" s="65"/>
      <c r="O275" s="65"/>
      <c r="P275" s="65"/>
      <c r="Q275" s="65"/>
      <c r="R275" s="65"/>
    </row>
    <row r="276" spans="5:18" ht="15.75" customHeight="1">
      <c r="E276" s="129"/>
      <c r="J276" s="65"/>
      <c r="K276" s="65"/>
      <c r="L276" s="65"/>
      <c r="M276" s="65"/>
      <c r="O276" s="65"/>
      <c r="P276" s="65"/>
      <c r="Q276" s="65"/>
      <c r="R276" s="65"/>
    </row>
    <row r="277" spans="5:18" ht="15.75" customHeight="1">
      <c r="E277" s="129"/>
      <c r="J277" s="65"/>
      <c r="K277" s="65"/>
      <c r="L277" s="65"/>
      <c r="M277" s="65"/>
      <c r="O277" s="65"/>
      <c r="P277" s="65"/>
      <c r="Q277" s="65"/>
      <c r="R277" s="65"/>
    </row>
    <row r="278" spans="5:18" ht="15.75" customHeight="1">
      <c r="E278" s="129"/>
      <c r="J278" s="65"/>
      <c r="K278" s="65"/>
      <c r="L278" s="65"/>
      <c r="M278" s="65"/>
      <c r="O278" s="65"/>
      <c r="P278" s="65"/>
      <c r="Q278" s="65"/>
      <c r="R278" s="65"/>
    </row>
    <row r="279" spans="5:18" ht="15.75" customHeight="1">
      <c r="E279" s="129"/>
      <c r="J279" s="65"/>
      <c r="K279" s="65"/>
      <c r="L279" s="65"/>
      <c r="M279" s="65"/>
      <c r="O279" s="65"/>
      <c r="P279" s="65"/>
      <c r="Q279" s="65"/>
      <c r="R279" s="65"/>
    </row>
    <row r="280" spans="5:18" ht="15.75" customHeight="1">
      <c r="E280" s="129"/>
      <c r="J280" s="65"/>
      <c r="K280" s="65"/>
      <c r="L280" s="65"/>
      <c r="M280" s="65"/>
      <c r="O280" s="65"/>
      <c r="P280" s="65"/>
      <c r="Q280" s="65"/>
      <c r="R280" s="65"/>
    </row>
    <row r="281" spans="5:18" ht="15.75" customHeight="1">
      <c r="E281" s="129"/>
      <c r="J281" s="65"/>
      <c r="K281" s="65"/>
      <c r="L281" s="65"/>
      <c r="M281" s="65"/>
      <c r="O281" s="65"/>
      <c r="P281" s="65"/>
      <c r="Q281" s="65"/>
      <c r="R281" s="65"/>
    </row>
    <row r="282" spans="5:18" ht="15.75" customHeight="1">
      <c r="E282" s="129"/>
      <c r="J282" s="65"/>
      <c r="K282" s="65"/>
      <c r="L282" s="65"/>
      <c r="M282" s="65"/>
      <c r="O282" s="65"/>
      <c r="P282" s="65"/>
      <c r="Q282" s="65"/>
      <c r="R282" s="65"/>
    </row>
    <row r="283" spans="5:18" ht="15.75" customHeight="1">
      <c r="E283" s="129"/>
      <c r="J283" s="65"/>
      <c r="K283" s="65"/>
      <c r="L283" s="65"/>
      <c r="M283" s="65"/>
      <c r="O283" s="65"/>
      <c r="P283" s="65"/>
      <c r="Q283" s="65"/>
      <c r="R283" s="65"/>
    </row>
    <row r="284" spans="5:18" ht="15.75" customHeight="1">
      <c r="E284" s="129"/>
      <c r="J284" s="65"/>
      <c r="K284" s="65"/>
      <c r="L284" s="65"/>
      <c r="M284" s="65"/>
      <c r="O284" s="65"/>
      <c r="P284" s="65"/>
      <c r="Q284" s="65"/>
      <c r="R284" s="65"/>
    </row>
    <row r="285" spans="5:18" ht="15.75" customHeight="1">
      <c r="E285" s="129"/>
      <c r="J285" s="65"/>
      <c r="K285" s="65"/>
      <c r="L285" s="65"/>
      <c r="M285" s="65"/>
      <c r="O285" s="65"/>
      <c r="P285" s="65"/>
      <c r="Q285" s="65"/>
      <c r="R285" s="65"/>
    </row>
    <row r="286" spans="5:18" ht="15.75" customHeight="1">
      <c r="E286" s="129"/>
      <c r="J286" s="65"/>
      <c r="K286" s="65"/>
      <c r="L286" s="65"/>
      <c r="M286" s="65"/>
      <c r="O286" s="65"/>
      <c r="P286" s="65"/>
      <c r="Q286" s="65"/>
      <c r="R286" s="65"/>
    </row>
    <row r="287" spans="5:18" ht="15.75" customHeight="1">
      <c r="E287" s="129"/>
      <c r="J287" s="65"/>
      <c r="K287" s="65"/>
      <c r="L287" s="65"/>
      <c r="M287" s="65"/>
      <c r="O287" s="65"/>
      <c r="P287" s="65"/>
      <c r="Q287" s="65"/>
      <c r="R287" s="65"/>
    </row>
    <row r="288" spans="5:18" ht="15.75" customHeight="1">
      <c r="E288" s="129"/>
      <c r="J288" s="65"/>
      <c r="K288" s="65"/>
      <c r="L288" s="65"/>
      <c r="M288" s="65"/>
      <c r="O288" s="65"/>
      <c r="P288" s="65"/>
      <c r="Q288" s="65"/>
      <c r="R288" s="65"/>
    </row>
    <row r="289" spans="5:18" ht="15.75" customHeight="1">
      <c r="E289" s="129"/>
      <c r="J289" s="65"/>
      <c r="K289" s="65"/>
      <c r="L289" s="65"/>
      <c r="M289" s="65"/>
      <c r="O289" s="65"/>
      <c r="P289" s="65"/>
      <c r="Q289" s="65"/>
      <c r="R289" s="65"/>
    </row>
    <row r="290" spans="5:18" ht="15.75" customHeight="1">
      <c r="E290" s="129"/>
      <c r="J290" s="65"/>
      <c r="K290" s="65"/>
      <c r="L290" s="65"/>
      <c r="M290" s="65"/>
      <c r="O290" s="65"/>
      <c r="P290" s="65"/>
      <c r="Q290" s="65"/>
      <c r="R290" s="65"/>
    </row>
    <row r="291" spans="5:18" ht="15.75" customHeight="1">
      <c r="E291" s="129"/>
      <c r="J291" s="65"/>
      <c r="K291" s="65"/>
      <c r="L291" s="65"/>
      <c r="M291" s="65"/>
      <c r="O291" s="65"/>
      <c r="P291" s="65"/>
      <c r="Q291" s="65"/>
      <c r="R291" s="65"/>
    </row>
    <row r="292" spans="5:18" ht="15.75" customHeight="1">
      <c r="E292" s="129"/>
      <c r="J292" s="65"/>
      <c r="K292" s="65"/>
      <c r="L292" s="65"/>
      <c r="M292" s="65"/>
      <c r="O292" s="65"/>
      <c r="P292" s="65"/>
      <c r="Q292" s="65"/>
      <c r="R292" s="65"/>
    </row>
    <row r="293" spans="5:18" ht="15.75" customHeight="1">
      <c r="E293" s="129"/>
      <c r="J293" s="65"/>
      <c r="K293" s="65"/>
      <c r="L293" s="65"/>
      <c r="M293" s="65"/>
      <c r="O293" s="65"/>
      <c r="P293" s="65"/>
      <c r="Q293" s="65"/>
      <c r="R293" s="65"/>
    </row>
    <row r="294" spans="5:18" ht="15.75" customHeight="1">
      <c r="E294" s="129"/>
      <c r="J294" s="65"/>
      <c r="K294" s="65"/>
      <c r="L294" s="65"/>
      <c r="M294" s="65"/>
      <c r="O294" s="65"/>
      <c r="P294" s="65"/>
      <c r="Q294" s="65"/>
      <c r="R294" s="65"/>
    </row>
    <row r="295" spans="5:18" ht="15.75" customHeight="1">
      <c r="E295" s="129"/>
      <c r="J295" s="65"/>
      <c r="K295" s="65"/>
      <c r="L295" s="65"/>
      <c r="M295" s="65"/>
      <c r="O295" s="65"/>
      <c r="P295" s="65"/>
      <c r="Q295" s="65"/>
      <c r="R295" s="65"/>
    </row>
    <row r="296" spans="5:18" ht="15.75" customHeight="1">
      <c r="E296" s="129"/>
      <c r="J296" s="65"/>
      <c r="K296" s="65"/>
      <c r="L296" s="65"/>
      <c r="M296" s="65"/>
      <c r="O296" s="65"/>
      <c r="P296" s="65"/>
      <c r="Q296" s="65"/>
      <c r="R296" s="65"/>
    </row>
    <row r="297" spans="5:18" ht="15.75" customHeight="1">
      <c r="E297" s="129"/>
      <c r="J297" s="65"/>
      <c r="K297" s="65"/>
      <c r="L297" s="65"/>
      <c r="M297" s="65"/>
      <c r="O297" s="65"/>
      <c r="P297" s="65"/>
      <c r="Q297" s="65"/>
      <c r="R297" s="65"/>
    </row>
    <row r="298" spans="5:18" ht="15.75" customHeight="1">
      <c r="E298" s="129"/>
      <c r="J298" s="65"/>
      <c r="K298" s="65"/>
      <c r="L298" s="65"/>
      <c r="M298" s="65"/>
      <c r="O298" s="65"/>
      <c r="P298" s="65"/>
      <c r="Q298" s="65"/>
      <c r="R298" s="65"/>
    </row>
    <row r="299" spans="5:18" ht="15.75" customHeight="1">
      <c r="E299" s="129"/>
      <c r="J299" s="65"/>
      <c r="K299" s="65"/>
      <c r="L299" s="65"/>
      <c r="M299" s="65"/>
      <c r="O299" s="65"/>
      <c r="P299" s="65"/>
      <c r="Q299" s="65"/>
      <c r="R299" s="65"/>
    </row>
    <row r="300" spans="5:18" ht="15.75" customHeight="1">
      <c r="E300" s="129"/>
      <c r="J300" s="65"/>
      <c r="K300" s="65"/>
      <c r="L300" s="65"/>
      <c r="M300" s="65"/>
      <c r="O300" s="65"/>
      <c r="P300" s="65"/>
      <c r="Q300" s="65"/>
      <c r="R300" s="65"/>
    </row>
    <row r="301" spans="5:18" ht="15.75" customHeight="1">
      <c r="E301" s="129"/>
      <c r="J301" s="65"/>
      <c r="K301" s="65"/>
      <c r="L301" s="65"/>
      <c r="M301" s="65"/>
      <c r="O301" s="65"/>
      <c r="P301" s="65"/>
      <c r="Q301" s="65"/>
      <c r="R301" s="65"/>
    </row>
    <row r="302" spans="5:18" ht="15.75" customHeight="1">
      <c r="E302" s="129"/>
      <c r="J302" s="65"/>
      <c r="K302" s="65"/>
      <c r="L302" s="65"/>
      <c r="M302" s="65"/>
      <c r="O302" s="65"/>
      <c r="P302" s="65"/>
      <c r="Q302" s="65"/>
      <c r="R302" s="65"/>
    </row>
    <row r="303" spans="5:18" ht="15.75" customHeight="1">
      <c r="E303" s="129"/>
      <c r="J303" s="65"/>
      <c r="K303" s="65"/>
      <c r="L303" s="65"/>
      <c r="M303" s="65"/>
      <c r="O303" s="65"/>
      <c r="P303" s="65"/>
      <c r="Q303" s="65"/>
      <c r="R303" s="65"/>
    </row>
    <row r="304" spans="5:18" ht="15.75" customHeight="1">
      <c r="E304" s="129"/>
      <c r="J304" s="65"/>
      <c r="K304" s="65"/>
      <c r="L304" s="65"/>
      <c r="M304" s="65"/>
      <c r="O304" s="65"/>
      <c r="P304" s="65"/>
      <c r="Q304" s="65"/>
      <c r="R304" s="65"/>
    </row>
    <row r="305" spans="5:18" ht="15.75" customHeight="1">
      <c r="E305" s="129"/>
      <c r="J305" s="65"/>
      <c r="K305" s="65"/>
      <c r="L305" s="65"/>
      <c r="M305" s="65"/>
      <c r="O305" s="65"/>
      <c r="P305" s="65"/>
      <c r="Q305" s="65"/>
      <c r="R305" s="65"/>
    </row>
    <row r="306" spans="5:18" ht="15.75" customHeight="1">
      <c r="E306" s="129"/>
      <c r="J306" s="65"/>
      <c r="K306" s="65"/>
      <c r="L306" s="65"/>
      <c r="M306" s="65"/>
      <c r="O306" s="65"/>
      <c r="P306" s="65"/>
      <c r="Q306" s="65"/>
      <c r="R306" s="65"/>
    </row>
    <row r="307" spans="5:18" ht="15.75" customHeight="1">
      <c r="E307" s="129"/>
      <c r="J307" s="65"/>
      <c r="K307" s="65"/>
      <c r="L307" s="65"/>
      <c r="M307" s="65"/>
      <c r="O307" s="65"/>
      <c r="P307" s="65"/>
      <c r="Q307" s="65"/>
      <c r="R307" s="65"/>
    </row>
    <row r="308" spans="5:18" ht="15.75" customHeight="1">
      <c r="E308" s="129"/>
    </row>
    <row r="309" spans="5:18" ht="15.75" customHeight="1">
      <c r="E309" s="129"/>
    </row>
    <row r="310" spans="5:18" ht="15.75" customHeight="1">
      <c r="E310" s="129"/>
    </row>
    <row r="311" spans="5:18" ht="15.75" customHeight="1">
      <c r="E311" s="129"/>
    </row>
    <row r="312" spans="5:18" ht="15.75" customHeight="1">
      <c r="E312" s="129"/>
    </row>
    <row r="313" spans="5:18" ht="15.75" customHeight="1">
      <c r="E313" s="129"/>
    </row>
    <row r="314" spans="5:18" ht="15.75" customHeight="1">
      <c r="E314" s="129"/>
    </row>
    <row r="315" spans="5:18" ht="15.75" customHeight="1">
      <c r="E315" s="129"/>
    </row>
    <row r="316" spans="5:18" ht="15.75" customHeight="1">
      <c r="E316" s="129"/>
    </row>
    <row r="317" spans="5:18" ht="15.75" customHeight="1">
      <c r="E317" s="129"/>
    </row>
    <row r="318" spans="5:18" ht="15.75" customHeight="1">
      <c r="E318" s="129"/>
    </row>
    <row r="319" spans="5:18" ht="15.75" customHeight="1">
      <c r="E319" s="129"/>
    </row>
    <row r="320" spans="5:18" ht="15.75" customHeight="1">
      <c r="E320" s="129"/>
    </row>
    <row r="321" spans="5:5" ht="15.75" customHeight="1">
      <c r="E321" s="129"/>
    </row>
    <row r="322" spans="5:5" ht="15.75" customHeight="1">
      <c r="E322" s="129"/>
    </row>
    <row r="323" spans="5:5" ht="15.75" customHeight="1">
      <c r="E323" s="129"/>
    </row>
    <row r="324" spans="5:5" ht="15.75" customHeight="1">
      <c r="E324" s="129"/>
    </row>
    <row r="325" spans="5:5" ht="15.75" customHeight="1">
      <c r="E325" s="129"/>
    </row>
    <row r="326" spans="5:5" ht="15.75" customHeight="1">
      <c r="E326" s="129"/>
    </row>
    <row r="327" spans="5:5" ht="15.75" customHeight="1">
      <c r="E327" s="129"/>
    </row>
    <row r="328" spans="5:5" ht="15.75" customHeight="1">
      <c r="E328" s="129"/>
    </row>
    <row r="329" spans="5:5" ht="15.75" customHeight="1">
      <c r="E329" s="129"/>
    </row>
    <row r="330" spans="5:5" ht="15.75" customHeight="1">
      <c r="E330" s="129"/>
    </row>
    <row r="331" spans="5:5" ht="15.75" customHeight="1">
      <c r="E331" s="129"/>
    </row>
    <row r="332" spans="5:5" ht="15.75" customHeight="1">
      <c r="E332" s="129"/>
    </row>
    <row r="333" spans="5:5" ht="15.75" customHeight="1">
      <c r="E333" s="129"/>
    </row>
    <row r="334" spans="5:5" ht="15.75" customHeight="1">
      <c r="E334" s="129"/>
    </row>
    <row r="335" spans="5:5" ht="15.75" customHeight="1">
      <c r="E335" s="129"/>
    </row>
    <row r="336" spans="5:5" ht="15.75" customHeight="1">
      <c r="E336" s="129"/>
    </row>
    <row r="337" spans="5:5" ht="15.75" customHeight="1">
      <c r="E337" s="129"/>
    </row>
    <row r="338" spans="5:5" ht="15.75" customHeight="1">
      <c r="E338" s="129"/>
    </row>
    <row r="339" spans="5:5" ht="15.75" customHeight="1">
      <c r="E339" s="129"/>
    </row>
    <row r="340" spans="5:5" ht="15.75" customHeight="1">
      <c r="E340" s="129"/>
    </row>
    <row r="341" spans="5:5" ht="15.75" customHeight="1">
      <c r="E341" s="129"/>
    </row>
    <row r="342" spans="5:5" ht="15.75" customHeight="1">
      <c r="E342" s="129"/>
    </row>
    <row r="343" spans="5:5" ht="15.75" customHeight="1">
      <c r="E343" s="129"/>
    </row>
    <row r="344" spans="5:5" ht="15.75" customHeight="1">
      <c r="E344" s="129"/>
    </row>
    <row r="345" spans="5:5" ht="15.75" customHeight="1">
      <c r="E345" s="129"/>
    </row>
    <row r="346" spans="5:5" ht="15.75" customHeight="1">
      <c r="E346" s="129"/>
    </row>
    <row r="347" spans="5:5" ht="15.75" customHeight="1">
      <c r="E347" s="129"/>
    </row>
    <row r="348" spans="5:5" ht="15.75" customHeight="1">
      <c r="E348" s="129"/>
    </row>
    <row r="349" spans="5:5" ht="15.75" customHeight="1">
      <c r="E349" s="129"/>
    </row>
    <row r="350" spans="5:5" ht="15.75" customHeight="1">
      <c r="E350" s="129"/>
    </row>
    <row r="351" spans="5:5" ht="15.75" customHeight="1">
      <c r="E351" s="129"/>
    </row>
    <row r="352" spans="5:5" ht="15.75" customHeight="1">
      <c r="E352" s="129"/>
    </row>
    <row r="353" spans="5:5" ht="15.75" customHeight="1">
      <c r="E353" s="129"/>
    </row>
    <row r="354" spans="5:5" ht="15.75" customHeight="1">
      <c r="E354" s="129"/>
    </row>
    <row r="355" spans="5:5" ht="15.75" customHeight="1">
      <c r="E355" s="129"/>
    </row>
    <row r="356" spans="5:5" ht="15.75" customHeight="1">
      <c r="E356" s="129"/>
    </row>
    <row r="357" spans="5:5" ht="15.75" customHeight="1">
      <c r="E357" s="129"/>
    </row>
    <row r="358" spans="5:5" ht="15.75" customHeight="1">
      <c r="E358" s="129"/>
    </row>
    <row r="359" spans="5:5" ht="15.75" customHeight="1">
      <c r="E359" s="129"/>
    </row>
    <row r="360" spans="5:5" ht="15.75" customHeight="1">
      <c r="E360" s="129"/>
    </row>
    <row r="361" spans="5:5" ht="15.75" customHeight="1">
      <c r="E361" s="129"/>
    </row>
    <row r="362" spans="5:5" ht="15.75" customHeight="1">
      <c r="E362" s="129"/>
    </row>
    <row r="363" spans="5:5" ht="15.75" customHeight="1">
      <c r="E363" s="129"/>
    </row>
    <row r="364" spans="5:5" ht="15.75" customHeight="1">
      <c r="E364" s="129"/>
    </row>
    <row r="365" spans="5:5" ht="15.75" customHeight="1">
      <c r="E365" s="129"/>
    </row>
    <row r="366" spans="5:5" ht="15.75" customHeight="1">
      <c r="E366" s="129"/>
    </row>
    <row r="367" spans="5:5" ht="15.75" customHeight="1">
      <c r="E367" s="129"/>
    </row>
    <row r="368" spans="5:5" ht="15.75" customHeight="1">
      <c r="E368" s="129"/>
    </row>
    <row r="369" spans="5:5" ht="15.75" customHeight="1">
      <c r="E369" s="129"/>
    </row>
    <row r="370" spans="5:5" ht="15.75" customHeight="1">
      <c r="E370" s="129"/>
    </row>
    <row r="371" spans="5:5" ht="15.75" customHeight="1">
      <c r="E371" s="129"/>
    </row>
    <row r="372" spans="5:5" ht="15.75" customHeight="1">
      <c r="E372" s="129"/>
    </row>
    <row r="373" spans="5:5" ht="15.75" customHeight="1">
      <c r="E373" s="129"/>
    </row>
    <row r="374" spans="5:5" ht="15.75" customHeight="1">
      <c r="E374" s="129"/>
    </row>
    <row r="375" spans="5:5" ht="15.75" customHeight="1">
      <c r="E375" s="129"/>
    </row>
    <row r="376" spans="5:5" ht="15.75" customHeight="1">
      <c r="E376" s="129"/>
    </row>
    <row r="377" spans="5:5" ht="15.75" customHeight="1">
      <c r="E377" s="129"/>
    </row>
    <row r="378" spans="5:5" ht="15.75" customHeight="1">
      <c r="E378" s="129"/>
    </row>
    <row r="379" spans="5:5" ht="15.75" customHeight="1">
      <c r="E379" s="129"/>
    </row>
    <row r="380" spans="5:5" ht="15.75" customHeight="1">
      <c r="E380" s="129"/>
    </row>
    <row r="381" spans="5:5" ht="15.75" customHeight="1">
      <c r="E381" s="129"/>
    </row>
    <row r="382" spans="5:5" ht="15.75" customHeight="1">
      <c r="E382" s="129"/>
    </row>
    <row r="383" spans="5:5" ht="15.75" customHeight="1">
      <c r="E383" s="129"/>
    </row>
    <row r="384" spans="5:5" ht="15.75" customHeight="1">
      <c r="E384" s="129"/>
    </row>
    <row r="385" spans="5:5" ht="15.75" customHeight="1">
      <c r="E385" s="129"/>
    </row>
    <row r="386" spans="5:5" ht="15.75" customHeight="1">
      <c r="E386" s="129"/>
    </row>
    <row r="387" spans="5:5" ht="15.75" customHeight="1">
      <c r="E387" s="129"/>
    </row>
    <row r="388" spans="5:5" ht="15.75" customHeight="1">
      <c r="E388" s="129"/>
    </row>
    <row r="389" spans="5:5" ht="15.75" customHeight="1">
      <c r="E389" s="129"/>
    </row>
    <row r="390" spans="5:5" ht="15.75" customHeight="1">
      <c r="E390" s="129"/>
    </row>
    <row r="391" spans="5:5" ht="15.75" customHeight="1">
      <c r="E391" s="129"/>
    </row>
    <row r="392" spans="5:5" ht="15.75" customHeight="1">
      <c r="E392" s="129"/>
    </row>
    <row r="393" spans="5:5" ht="15.75" customHeight="1">
      <c r="E393" s="129"/>
    </row>
    <row r="394" spans="5:5" ht="15.75" customHeight="1">
      <c r="E394" s="129"/>
    </row>
    <row r="395" spans="5:5" ht="15.75" customHeight="1">
      <c r="E395" s="129"/>
    </row>
    <row r="396" spans="5:5" ht="15.75" customHeight="1">
      <c r="E396" s="129"/>
    </row>
    <row r="397" spans="5:5" ht="15.75" customHeight="1">
      <c r="E397" s="129"/>
    </row>
    <row r="398" spans="5:5" ht="15.75" customHeight="1">
      <c r="E398" s="129"/>
    </row>
    <row r="399" spans="5:5" ht="15.75" customHeight="1">
      <c r="E399" s="129"/>
    </row>
    <row r="400" spans="5:5" ht="15.75" customHeight="1">
      <c r="E400" s="129"/>
    </row>
    <row r="401" spans="5:5" ht="15.75" customHeight="1">
      <c r="E401" s="129"/>
    </row>
    <row r="402" spans="5:5" ht="15.75" customHeight="1">
      <c r="E402" s="129"/>
    </row>
    <row r="403" spans="5:5" ht="15.75" customHeight="1">
      <c r="E403" s="129"/>
    </row>
    <row r="404" spans="5:5" ht="15.75" customHeight="1">
      <c r="E404" s="129"/>
    </row>
    <row r="405" spans="5:5" ht="15.75" customHeight="1">
      <c r="E405" s="129"/>
    </row>
    <row r="406" spans="5:5" ht="15.75" customHeight="1">
      <c r="E406" s="129"/>
    </row>
    <row r="407" spans="5:5" ht="15.75" customHeight="1">
      <c r="E407" s="129"/>
    </row>
    <row r="408" spans="5:5" ht="15.75" customHeight="1">
      <c r="E408" s="129"/>
    </row>
    <row r="409" spans="5:5" ht="15.75" customHeight="1">
      <c r="E409" s="129"/>
    </row>
    <row r="410" spans="5:5" ht="15.75" customHeight="1">
      <c r="E410" s="129"/>
    </row>
    <row r="411" spans="5:5" ht="15.75" customHeight="1">
      <c r="E411" s="129"/>
    </row>
    <row r="412" spans="5:5" ht="15.75" customHeight="1">
      <c r="E412" s="129"/>
    </row>
    <row r="413" spans="5:5" ht="15.75" customHeight="1">
      <c r="E413" s="129"/>
    </row>
    <row r="414" spans="5:5" ht="15.75" customHeight="1">
      <c r="E414" s="129"/>
    </row>
    <row r="415" spans="5:5" ht="15.75" customHeight="1">
      <c r="E415" s="129"/>
    </row>
    <row r="416" spans="5:5" ht="15.75" customHeight="1">
      <c r="E416" s="129"/>
    </row>
    <row r="417" spans="5:5" ht="15.75" customHeight="1">
      <c r="E417" s="129"/>
    </row>
    <row r="418" spans="5:5" ht="15.75" customHeight="1">
      <c r="E418" s="129"/>
    </row>
    <row r="419" spans="5:5" ht="15.75" customHeight="1">
      <c r="E419" s="129"/>
    </row>
    <row r="420" spans="5:5" ht="15.75" customHeight="1">
      <c r="E420" s="129"/>
    </row>
    <row r="421" spans="5:5" ht="15.75" customHeight="1">
      <c r="E421" s="129"/>
    </row>
    <row r="422" spans="5:5" ht="15.75" customHeight="1">
      <c r="E422" s="129"/>
    </row>
    <row r="423" spans="5:5" ht="15.75" customHeight="1">
      <c r="E423" s="129"/>
    </row>
    <row r="424" spans="5:5" ht="15.75" customHeight="1">
      <c r="E424" s="129"/>
    </row>
    <row r="425" spans="5:5" ht="15.75" customHeight="1">
      <c r="E425" s="129"/>
    </row>
    <row r="426" spans="5:5" ht="15.75" customHeight="1">
      <c r="E426" s="129"/>
    </row>
    <row r="427" spans="5:5" ht="15.75" customHeight="1">
      <c r="E427" s="129"/>
    </row>
    <row r="428" spans="5:5" ht="15.75" customHeight="1">
      <c r="E428" s="129"/>
    </row>
    <row r="429" spans="5:5" ht="15.75" customHeight="1">
      <c r="E429" s="129"/>
    </row>
    <row r="430" spans="5:5" ht="15.75" customHeight="1">
      <c r="E430" s="129"/>
    </row>
    <row r="431" spans="5:5" ht="15.75" customHeight="1">
      <c r="E431" s="129"/>
    </row>
    <row r="432" spans="5:5" ht="15.75" customHeight="1">
      <c r="E432" s="129"/>
    </row>
    <row r="433" spans="5:5" ht="15.75" customHeight="1">
      <c r="E433" s="129"/>
    </row>
    <row r="434" spans="5:5" ht="15.75" customHeight="1">
      <c r="E434" s="129"/>
    </row>
    <row r="435" spans="5:5" ht="15.75" customHeight="1">
      <c r="E435" s="129"/>
    </row>
    <row r="436" spans="5:5" ht="15.75" customHeight="1">
      <c r="E436" s="129"/>
    </row>
    <row r="437" spans="5:5" ht="15.75" customHeight="1">
      <c r="E437" s="129"/>
    </row>
    <row r="438" spans="5:5" ht="15.75" customHeight="1">
      <c r="E438" s="129"/>
    </row>
    <row r="439" spans="5:5" ht="15.75" customHeight="1">
      <c r="E439" s="129"/>
    </row>
    <row r="440" spans="5:5" ht="15.75" customHeight="1">
      <c r="E440" s="129"/>
    </row>
    <row r="441" spans="5:5" ht="15.75" customHeight="1">
      <c r="E441" s="129"/>
    </row>
    <row r="442" spans="5:5" ht="15.75" customHeight="1">
      <c r="E442" s="129"/>
    </row>
    <row r="443" spans="5:5" ht="15.75" customHeight="1">
      <c r="E443" s="129"/>
    </row>
    <row r="444" spans="5:5" ht="15.75" customHeight="1">
      <c r="E444" s="129"/>
    </row>
    <row r="445" spans="5:5" ht="15.75" customHeight="1">
      <c r="E445" s="129"/>
    </row>
    <row r="446" spans="5:5" ht="15.75" customHeight="1">
      <c r="E446" s="129"/>
    </row>
    <row r="447" spans="5:5" ht="15.75" customHeight="1">
      <c r="E447" s="129"/>
    </row>
    <row r="448" spans="5:5" ht="15.75" customHeight="1">
      <c r="E448" s="129"/>
    </row>
    <row r="449" spans="5:5" ht="15.75" customHeight="1">
      <c r="E449" s="129"/>
    </row>
    <row r="450" spans="5:5" ht="15.75" customHeight="1">
      <c r="E450" s="129"/>
    </row>
    <row r="451" spans="5:5" ht="15.75" customHeight="1">
      <c r="E451" s="129"/>
    </row>
    <row r="452" spans="5:5" ht="15.75" customHeight="1">
      <c r="E452" s="129"/>
    </row>
    <row r="453" spans="5:5" ht="15.75" customHeight="1">
      <c r="E453" s="129"/>
    </row>
    <row r="454" spans="5:5" ht="15.75" customHeight="1">
      <c r="E454" s="129"/>
    </row>
    <row r="455" spans="5:5" ht="15.75" customHeight="1">
      <c r="E455" s="129"/>
    </row>
    <row r="456" spans="5:5" ht="15.75" customHeight="1">
      <c r="E456" s="129"/>
    </row>
    <row r="457" spans="5:5" ht="15.75" customHeight="1">
      <c r="E457" s="129"/>
    </row>
    <row r="458" spans="5:5" ht="15.75" customHeight="1">
      <c r="E458" s="129"/>
    </row>
    <row r="459" spans="5:5" ht="15.75" customHeight="1">
      <c r="E459" s="129"/>
    </row>
    <row r="460" spans="5:5" ht="15.75" customHeight="1">
      <c r="E460" s="129"/>
    </row>
    <row r="461" spans="5:5" ht="15.75" customHeight="1">
      <c r="E461" s="129"/>
    </row>
    <row r="462" spans="5:5" ht="15.75" customHeight="1">
      <c r="E462" s="129"/>
    </row>
    <row r="463" spans="5:5" ht="15.75" customHeight="1">
      <c r="E463" s="129"/>
    </row>
    <row r="464" spans="5:5" ht="15.75" customHeight="1">
      <c r="E464" s="129"/>
    </row>
    <row r="465" spans="5:5" ht="15.75" customHeight="1">
      <c r="E465" s="129"/>
    </row>
    <row r="466" spans="5:5" ht="15.75" customHeight="1">
      <c r="E466" s="129"/>
    </row>
    <row r="467" spans="5:5" ht="15.75" customHeight="1">
      <c r="E467" s="129"/>
    </row>
    <row r="468" spans="5:5" ht="15.75" customHeight="1">
      <c r="E468" s="129"/>
    </row>
    <row r="469" spans="5:5" ht="15.75" customHeight="1">
      <c r="E469" s="129"/>
    </row>
    <row r="470" spans="5:5" ht="15.75" customHeight="1">
      <c r="E470" s="129"/>
    </row>
    <row r="471" spans="5:5" ht="15.75" customHeight="1">
      <c r="E471" s="129"/>
    </row>
    <row r="472" spans="5:5" ht="15.75" customHeight="1">
      <c r="E472" s="129"/>
    </row>
    <row r="473" spans="5:5" ht="15.75" customHeight="1">
      <c r="E473" s="129"/>
    </row>
    <row r="474" spans="5:5" ht="15.75" customHeight="1">
      <c r="E474" s="129"/>
    </row>
    <row r="475" spans="5:5" ht="15.75" customHeight="1">
      <c r="E475" s="129"/>
    </row>
    <row r="476" spans="5:5" ht="15.75" customHeight="1">
      <c r="E476" s="129"/>
    </row>
    <row r="477" spans="5:5" ht="15.75" customHeight="1">
      <c r="E477" s="129"/>
    </row>
    <row r="478" spans="5:5" ht="15.75" customHeight="1">
      <c r="E478" s="129"/>
    </row>
    <row r="479" spans="5:5" ht="15.75" customHeight="1">
      <c r="E479" s="129"/>
    </row>
    <row r="480" spans="5:5" ht="15.75" customHeight="1">
      <c r="E480" s="129"/>
    </row>
    <row r="481" spans="5:5" ht="15.75" customHeight="1">
      <c r="E481" s="129"/>
    </row>
    <row r="482" spans="5:5" ht="15.75" customHeight="1">
      <c r="E482" s="129"/>
    </row>
    <row r="483" spans="5:5" ht="15.75" customHeight="1">
      <c r="E483" s="129"/>
    </row>
    <row r="484" spans="5:5" ht="15.75" customHeight="1">
      <c r="E484" s="129"/>
    </row>
    <row r="485" spans="5:5" ht="15.75" customHeight="1">
      <c r="E485" s="129"/>
    </row>
    <row r="486" spans="5:5" ht="15.75" customHeight="1">
      <c r="E486" s="129"/>
    </row>
    <row r="487" spans="5:5" ht="15.75" customHeight="1">
      <c r="E487" s="129"/>
    </row>
    <row r="488" spans="5:5" ht="15.75" customHeight="1">
      <c r="E488" s="129"/>
    </row>
    <row r="489" spans="5:5" ht="15.75" customHeight="1">
      <c r="E489" s="129"/>
    </row>
    <row r="490" spans="5:5" ht="15.75" customHeight="1">
      <c r="E490" s="129"/>
    </row>
    <row r="491" spans="5:5" ht="15.75" customHeight="1">
      <c r="E491" s="129"/>
    </row>
    <row r="492" spans="5:5" ht="15.75" customHeight="1">
      <c r="E492" s="129"/>
    </row>
    <row r="493" spans="5:5" ht="15.75" customHeight="1">
      <c r="E493" s="129"/>
    </row>
    <row r="494" spans="5:5" ht="15.75" customHeight="1">
      <c r="E494" s="129"/>
    </row>
    <row r="495" spans="5:5" ht="15.75" customHeight="1">
      <c r="E495" s="129"/>
    </row>
    <row r="496" spans="5:5" ht="15.75" customHeight="1">
      <c r="E496" s="129"/>
    </row>
    <row r="497" spans="5:5" ht="15.75" customHeight="1">
      <c r="E497" s="129"/>
    </row>
    <row r="498" spans="5:5" ht="15.75" customHeight="1">
      <c r="E498" s="129"/>
    </row>
    <row r="499" spans="5:5" ht="15.75" customHeight="1">
      <c r="E499" s="129"/>
    </row>
    <row r="500" spans="5:5" ht="15.75" customHeight="1">
      <c r="E500" s="129"/>
    </row>
    <row r="501" spans="5:5" ht="15.75" customHeight="1">
      <c r="E501" s="129"/>
    </row>
    <row r="502" spans="5:5" ht="15.75" customHeight="1">
      <c r="E502" s="129"/>
    </row>
    <row r="503" spans="5:5" ht="15.75" customHeight="1">
      <c r="E503" s="129"/>
    </row>
    <row r="504" spans="5:5" ht="15.75" customHeight="1">
      <c r="E504" s="129"/>
    </row>
    <row r="505" spans="5:5" ht="15.75" customHeight="1">
      <c r="E505" s="129"/>
    </row>
    <row r="506" spans="5:5" ht="15.75" customHeight="1">
      <c r="E506" s="129"/>
    </row>
    <row r="507" spans="5:5" ht="15.75" customHeight="1">
      <c r="E507" s="129"/>
    </row>
    <row r="508" spans="5:5" ht="15.75" customHeight="1">
      <c r="E508" s="129"/>
    </row>
    <row r="509" spans="5:5" ht="15.75" customHeight="1">
      <c r="E509" s="129"/>
    </row>
    <row r="510" spans="5:5" ht="15.75" customHeight="1">
      <c r="E510" s="129"/>
    </row>
    <row r="511" spans="5:5" ht="15.75" customHeight="1">
      <c r="E511" s="129"/>
    </row>
    <row r="512" spans="5:5" ht="15.75" customHeight="1">
      <c r="E512" s="129"/>
    </row>
    <row r="513" spans="5:5" ht="15.75" customHeight="1">
      <c r="E513" s="129"/>
    </row>
    <row r="514" spans="5:5" ht="15.75" customHeight="1">
      <c r="E514" s="129"/>
    </row>
    <row r="515" spans="5:5" ht="15.75" customHeight="1">
      <c r="E515" s="129"/>
    </row>
    <row r="516" spans="5:5" ht="15.75" customHeight="1">
      <c r="E516" s="129"/>
    </row>
    <row r="517" spans="5:5" ht="15.75" customHeight="1">
      <c r="E517" s="129"/>
    </row>
    <row r="518" spans="5:5" ht="15.75" customHeight="1">
      <c r="E518" s="129"/>
    </row>
    <row r="519" spans="5:5" ht="15.75" customHeight="1">
      <c r="E519" s="129"/>
    </row>
    <row r="520" spans="5:5" ht="15.75" customHeight="1">
      <c r="E520" s="129"/>
    </row>
    <row r="521" spans="5:5" ht="15.75" customHeight="1">
      <c r="E521" s="129"/>
    </row>
    <row r="522" spans="5:5" ht="15.75" customHeight="1">
      <c r="E522" s="129"/>
    </row>
    <row r="523" spans="5:5" ht="15.75" customHeight="1">
      <c r="E523" s="129"/>
    </row>
    <row r="524" spans="5:5" ht="15.75" customHeight="1">
      <c r="E524" s="129"/>
    </row>
    <row r="525" spans="5:5" ht="15.75" customHeight="1">
      <c r="E525" s="129"/>
    </row>
    <row r="526" spans="5:5" ht="15.75" customHeight="1">
      <c r="E526" s="129"/>
    </row>
    <row r="527" spans="5:5" ht="15.75" customHeight="1">
      <c r="E527" s="129"/>
    </row>
    <row r="528" spans="5:5" ht="15.75" customHeight="1">
      <c r="E528" s="129"/>
    </row>
    <row r="529" spans="5:5" ht="15.75" customHeight="1">
      <c r="E529" s="129"/>
    </row>
    <row r="530" spans="5:5" ht="15.75" customHeight="1">
      <c r="E530" s="129"/>
    </row>
    <row r="531" spans="5:5" ht="15.75" customHeight="1">
      <c r="E531" s="129"/>
    </row>
    <row r="532" spans="5:5" ht="15.75" customHeight="1">
      <c r="E532" s="129"/>
    </row>
    <row r="533" spans="5:5" ht="15.75" customHeight="1">
      <c r="E533" s="129"/>
    </row>
    <row r="534" spans="5:5" ht="15.75" customHeight="1">
      <c r="E534" s="129"/>
    </row>
    <row r="535" spans="5:5" ht="15.75" customHeight="1">
      <c r="E535" s="129"/>
    </row>
    <row r="536" spans="5:5" ht="15.75" customHeight="1">
      <c r="E536" s="129"/>
    </row>
    <row r="537" spans="5:5" ht="15.75" customHeight="1">
      <c r="E537" s="129"/>
    </row>
    <row r="538" spans="5:5" ht="15.75" customHeight="1">
      <c r="E538" s="129"/>
    </row>
    <row r="539" spans="5:5" ht="15.75" customHeight="1">
      <c r="E539" s="129"/>
    </row>
    <row r="540" spans="5:5" ht="15.75" customHeight="1">
      <c r="E540" s="129"/>
    </row>
    <row r="541" spans="5:5" ht="15.75" customHeight="1">
      <c r="E541" s="129"/>
    </row>
    <row r="542" spans="5:5" ht="15.75" customHeight="1">
      <c r="E542" s="129"/>
    </row>
    <row r="543" spans="5:5" ht="15.75" customHeight="1">
      <c r="E543" s="129"/>
    </row>
    <row r="544" spans="5:5" ht="15.75" customHeight="1">
      <c r="E544" s="129"/>
    </row>
    <row r="545" spans="5:5" ht="15.75" customHeight="1">
      <c r="E545" s="129"/>
    </row>
    <row r="546" spans="5:5" ht="15.75" customHeight="1">
      <c r="E546" s="129"/>
    </row>
    <row r="547" spans="5:5" ht="15.75" customHeight="1">
      <c r="E547" s="129"/>
    </row>
    <row r="548" spans="5:5" ht="15.75" customHeight="1">
      <c r="E548" s="129"/>
    </row>
    <row r="549" spans="5:5" ht="15.75" customHeight="1">
      <c r="E549" s="129"/>
    </row>
    <row r="550" spans="5:5" ht="15.75" customHeight="1">
      <c r="E550" s="129"/>
    </row>
    <row r="551" spans="5:5" ht="15.75" customHeight="1">
      <c r="E551" s="129"/>
    </row>
    <row r="552" spans="5:5" ht="15.75" customHeight="1">
      <c r="E552" s="129"/>
    </row>
    <row r="553" spans="5:5" ht="15.75" customHeight="1">
      <c r="E553" s="129"/>
    </row>
    <row r="554" spans="5:5" ht="15.75" customHeight="1">
      <c r="E554" s="129"/>
    </row>
    <row r="555" spans="5:5" ht="15.75" customHeight="1">
      <c r="E555" s="129"/>
    </row>
    <row r="556" spans="5:5" ht="15.75" customHeight="1">
      <c r="E556" s="129"/>
    </row>
    <row r="557" spans="5:5" ht="15.75" customHeight="1">
      <c r="E557" s="129"/>
    </row>
    <row r="558" spans="5:5" ht="15.75" customHeight="1">
      <c r="E558" s="129"/>
    </row>
    <row r="559" spans="5:5" ht="15.75" customHeight="1">
      <c r="E559" s="129"/>
    </row>
    <row r="560" spans="5:5" ht="15.75" customHeight="1">
      <c r="E560" s="129"/>
    </row>
    <row r="561" spans="5:5" ht="15.75" customHeight="1">
      <c r="E561" s="129"/>
    </row>
    <row r="562" spans="5:5" ht="15.75" customHeight="1">
      <c r="E562" s="129"/>
    </row>
    <row r="563" spans="5:5" ht="15.75" customHeight="1">
      <c r="E563" s="129"/>
    </row>
    <row r="564" spans="5:5" ht="15.75" customHeight="1">
      <c r="E564" s="129"/>
    </row>
    <row r="565" spans="5:5" ht="15.75" customHeight="1">
      <c r="E565" s="129"/>
    </row>
    <row r="566" spans="5:5" ht="15.75" customHeight="1">
      <c r="E566" s="129"/>
    </row>
    <row r="567" spans="5:5" ht="15.75" customHeight="1">
      <c r="E567" s="129"/>
    </row>
    <row r="568" spans="5:5" ht="15.75" customHeight="1">
      <c r="E568" s="129"/>
    </row>
    <row r="569" spans="5:5" ht="15.75" customHeight="1">
      <c r="E569" s="129"/>
    </row>
    <row r="570" spans="5:5" ht="15.75" customHeight="1">
      <c r="E570" s="129"/>
    </row>
    <row r="571" spans="5:5" ht="15.75" customHeight="1">
      <c r="E571" s="129"/>
    </row>
    <row r="572" spans="5:5" ht="15.75" customHeight="1">
      <c r="E572" s="129"/>
    </row>
    <row r="573" spans="5:5" ht="15.75" customHeight="1">
      <c r="E573" s="129"/>
    </row>
    <row r="574" spans="5:5" ht="15.75" customHeight="1">
      <c r="E574" s="129"/>
    </row>
    <row r="575" spans="5:5" ht="15.75" customHeight="1">
      <c r="E575" s="129"/>
    </row>
    <row r="576" spans="5:5" ht="15.75" customHeight="1">
      <c r="E576" s="129"/>
    </row>
    <row r="577" spans="5:5" ht="15.75" customHeight="1">
      <c r="E577" s="129"/>
    </row>
    <row r="578" spans="5:5" ht="15.75" customHeight="1">
      <c r="E578" s="129"/>
    </row>
    <row r="579" spans="5:5" ht="15.75" customHeight="1">
      <c r="E579" s="129"/>
    </row>
    <row r="580" spans="5:5" ht="15.75" customHeight="1">
      <c r="E580" s="129"/>
    </row>
    <row r="581" spans="5:5" ht="15.75" customHeight="1">
      <c r="E581" s="129"/>
    </row>
    <row r="582" spans="5:5" ht="15.75" customHeight="1">
      <c r="E582" s="129"/>
    </row>
    <row r="583" spans="5:5" ht="15.75" customHeight="1">
      <c r="E583" s="129"/>
    </row>
    <row r="584" spans="5:5" ht="15.75" customHeight="1">
      <c r="E584" s="129"/>
    </row>
    <row r="585" spans="5:5" ht="15.75" customHeight="1">
      <c r="E585" s="129"/>
    </row>
    <row r="586" spans="5:5" ht="15.75" customHeight="1">
      <c r="E586" s="129"/>
    </row>
    <row r="587" spans="5:5" ht="15.75" customHeight="1">
      <c r="E587" s="129"/>
    </row>
    <row r="588" spans="5:5" ht="15.75" customHeight="1">
      <c r="E588" s="129"/>
    </row>
    <row r="589" spans="5:5" ht="15.75" customHeight="1">
      <c r="E589" s="129"/>
    </row>
    <row r="590" spans="5:5" ht="15.75" customHeight="1">
      <c r="E590" s="129"/>
    </row>
    <row r="591" spans="5:5" ht="15.75" customHeight="1">
      <c r="E591" s="129"/>
    </row>
    <row r="592" spans="5:5" ht="15.75" customHeight="1">
      <c r="E592" s="129"/>
    </row>
    <row r="593" spans="5:5" ht="15.75" customHeight="1">
      <c r="E593" s="129"/>
    </row>
    <row r="594" spans="5:5" ht="15.75" customHeight="1">
      <c r="E594" s="129"/>
    </row>
    <row r="595" spans="5:5" ht="15.75" customHeight="1">
      <c r="E595" s="129"/>
    </row>
    <row r="596" spans="5:5" ht="15.75" customHeight="1">
      <c r="E596" s="129"/>
    </row>
    <row r="597" spans="5:5" ht="15.75" customHeight="1">
      <c r="E597" s="129"/>
    </row>
    <row r="598" spans="5:5" ht="15.75" customHeight="1">
      <c r="E598" s="129"/>
    </row>
    <row r="599" spans="5:5" ht="15.75" customHeight="1">
      <c r="E599" s="129"/>
    </row>
    <row r="600" spans="5:5" ht="15.75" customHeight="1">
      <c r="E600" s="129"/>
    </row>
    <row r="601" spans="5:5" ht="15.75" customHeight="1">
      <c r="E601" s="129"/>
    </row>
    <row r="602" spans="5:5" ht="15.75" customHeight="1">
      <c r="E602" s="129"/>
    </row>
    <row r="603" spans="5:5" ht="15.75" customHeight="1">
      <c r="E603" s="129"/>
    </row>
    <row r="604" spans="5:5" ht="15.75" customHeight="1">
      <c r="E604" s="129"/>
    </row>
    <row r="605" spans="5:5" ht="15.75" customHeight="1">
      <c r="E605" s="129"/>
    </row>
    <row r="606" spans="5:5" ht="15.75" customHeight="1">
      <c r="E606" s="129"/>
    </row>
    <row r="607" spans="5:5" ht="15.75" customHeight="1">
      <c r="E607" s="129"/>
    </row>
    <row r="608" spans="5:5" ht="15.75" customHeight="1">
      <c r="E608" s="129"/>
    </row>
    <row r="609" spans="5:5" ht="15.75" customHeight="1">
      <c r="E609" s="129"/>
    </row>
    <row r="610" spans="5:5" ht="15.75" customHeight="1">
      <c r="E610" s="129"/>
    </row>
    <row r="611" spans="5:5" ht="15.75" customHeight="1">
      <c r="E611" s="129"/>
    </row>
    <row r="612" spans="5:5" ht="15.75" customHeight="1">
      <c r="E612" s="129"/>
    </row>
    <row r="613" spans="5:5" ht="15.75" customHeight="1">
      <c r="E613" s="129"/>
    </row>
    <row r="614" spans="5:5" ht="15.75" customHeight="1">
      <c r="E614" s="129"/>
    </row>
    <row r="615" spans="5:5" ht="15.75" customHeight="1">
      <c r="E615" s="129"/>
    </row>
    <row r="616" spans="5:5" ht="15.75" customHeight="1">
      <c r="E616" s="129"/>
    </row>
    <row r="617" spans="5:5" ht="15.75" customHeight="1">
      <c r="E617" s="129"/>
    </row>
    <row r="618" spans="5:5" ht="15.75" customHeight="1">
      <c r="E618" s="129"/>
    </row>
    <row r="619" spans="5:5" ht="15.75" customHeight="1">
      <c r="E619" s="129"/>
    </row>
    <row r="620" spans="5:5" ht="15.75" customHeight="1">
      <c r="E620" s="129"/>
    </row>
    <row r="621" spans="5:5" ht="15.75" customHeight="1">
      <c r="E621" s="129"/>
    </row>
    <row r="622" spans="5:5" ht="15.75" customHeight="1">
      <c r="E622" s="129"/>
    </row>
    <row r="623" spans="5:5" ht="15.75" customHeight="1">
      <c r="E623" s="129"/>
    </row>
    <row r="624" spans="5:5" ht="15.75" customHeight="1">
      <c r="E624" s="129"/>
    </row>
    <row r="625" spans="5:5" ht="15.75" customHeight="1">
      <c r="E625" s="129"/>
    </row>
    <row r="626" spans="5:5" ht="15.75" customHeight="1">
      <c r="E626" s="129"/>
    </row>
    <row r="627" spans="5:5" ht="15.75" customHeight="1">
      <c r="E627" s="129"/>
    </row>
    <row r="628" spans="5:5" ht="15.75" customHeight="1">
      <c r="E628" s="129"/>
    </row>
    <row r="629" spans="5:5" ht="15.75" customHeight="1">
      <c r="E629" s="129"/>
    </row>
    <row r="630" spans="5:5" ht="15.75" customHeight="1">
      <c r="E630" s="129"/>
    </row>
    <row r="631" spans="5:5" ht="15.75" customHeight="1">
      <c r="E631" s="129"/>
    </row>
    <row r="632" spans="5:5" ht="15.75" customHeight="1">
      <c r="E632" s="129"/>
    </row>
    <row r="633" spans="5:5" ht="15.75" customHeight="1">
      <c r="E633" s="129"/>
    </row>
    <row r="634" spans="5:5" ht="15.75" customHeight="1">
      <c r="E634" s="129"/>
    </row>
    <row r="635" spans="5:5" ht="15.75" customHeight="1">
      <c r="E635" s="129"/>
    </row>
    <row r="636" spans="5:5" ht="15.75" customHeight="1">
      <c r="E636" s="129"/>
    </row>
    <row r="637" spans="5:5" ht="15.75" customHeight="1">
      <c r="E637" s="129"/>
    </row>
    <row r="638" spans="5:5" ht="15.75" customHeight="1">
      <c r="E638" s="129"/>
    </row>
    <row r="639" spans="5:5" ht="15.75" customHeight="1">
      <c r="E639" s="129"/>
    </row>
    <row r="640" spans="5:5" ht="15.75" customHeight="1">
      <c r="E640" s="129"/>
    </row>
    <row r="641" spans="5:5" ht="15.75" customHeight="1">
      <c r="E641" s="129"/>
    </row>
    <row r="642" spans="5:5" ht="15.75" customHeight="1">
      <c r="E642" s="129"/>
    </row>
    <row r="643" spans="5:5" ht="15.75" customHeight="1">
      <c r="E643" s="129"/>
    </row>
    <row r="644" spans="5:5" ht="15.75" customHeight="1">
      <c r="E644" s="129"/>
    </row>
    <row r="645" spans="5:5" ht="15.75" customHeight="1">
      <c r="E645" s="129"/>
    </row>
    <row r="646" spans="5:5" ht="15.75" customHeight="1">
      <c r="E646" s="129"/>
    </row>
    <row r="647" spans="5:5" ht="15.75" customHeight="1">
      <c r="E647" s="129"/>
    </row>
    <row r="648" spans="5:5" ht="15.75" customHeight="1">
      <c r="E648" s="129"/>
    </row>
    <row r="649" spans="5:5" ht="15.75" customHeight="1">
      <c r="E649" s="129"/>
    </row>
    <row r="650" spans="5:5" ht="15.75" customHeight="1">
      <c r="E650" s="129"/>
    </row>
    <row r="651" spans="5:5" ht="15.75" customHeight="1">
      <c r="E651" s="129"/>
    </row>
    <row r="652" spans="5:5" ht="15.75" customHeight="1">
      <c r="E652" s="129"/>
    </row>
    <row r="653" spans="5:5" ht="15.75" customHeight="1">
      <c r="E653" s="129"/>
    </row>
    <row r="654" spans="5:5" ht="15.75" customHeight="1">
      <c r="E654" s="129"/>
    </row>
    <row r="655" spans="5:5" ht="15.75" customHeight="1">
      <c r="E655" s="129"/>
    </row>
    <row r="656" spans="5:5" ht="15.75" customHeight="1">
      <c r="E656" s="129"/>
    </row>
    <row r="657" spans="5:5" ht="15.75" customHeight="1">
      <c r="E657" s="129"/>
    </row>
    <row r="658" spans="5:5" ht="15.75" customHeight="1">
      <c r="E658" s="129"/>
    </row>
    <row r="659" spans="5:5" ht="15.75" customHeight="1">
      <c r="E659" s="129"/>
    </row>
    <row r="660" spans="5:5" ht="15.75" customHeight="1">
      <c r="E660" s="129"/>
    </row>
    <row r="661" spans="5:5" ht="15.75" customHeight="1">
      <c r="E661" s="129"/>
    </row>
    <row r="662" spans="5:5" ht="15.75" customHeight="1">
      <c r="E662" s="129"/>
    </row>
    <row r="663" spans="5:5" ht="15.75" customHeight="1">
      <c r="E663" s="129"/>
    </row>
    <row r="664" spans="5:5" ht="15.75" customHeight="1">
      <c r="E664" s="129"/>
    </row>
    <row r="665" spans="5:5" ht="15.75" customHeight="1">
      <c r="E665" s="129"/>
    </row>
    <row r="666" spans="5:5" ht="15.75" customHeight="1">
      <c r="E666" s="129"/>
    </row>
    <row r="667" spans="5:5" ht="15.75" customHeight="1">
      <c r="E667" s="129"/>
    </row>
    <row r="668" spans="5:5" ht="15.75" customHeight="1">
      <c r="E668" s="129"/>
    </row>
    <row r="669" spans="5:5" ht="15.75" customHeight="1">
      <c r="E669" s="129"/>
    </row>
    <row r="670" spans="5:5" ht="15.75" customHeight="1">
      <c r="E670" s="129"/>
    </row>
    <row r="671" spans="5:5" ht="15.75" customHeight="1">
      <c r="E671" s="129"/>
    </row>
    <row r="672" spans="5:5" ht="15.75" customHeight="1">
      <c r="E672" s="129"/>
    </row>
    <row r="673" spans="5:5" ht="15.75" customHeight="1">
      <c r="E673" s="129"/>
    </row>
    <row r="674" spans="5:5" ht="15.75" customHeight="1">
      <c r="E674" s="129"/>
    </row>
    <row r="675" spans="5:5" ht="15.75" customHeight="1">
      <c r="E675" s="129"/>
    </row>
    <row r="676" spans="5:5" ht="15.75" customHeight="1">
      <c r="E676" s="129"/>
    </row>
    <row r="677" spans="5:5" ht="15.75" customHeight="1">
      <c r="E677" s="129"/>
    </row>
    <row r="678" spans="5:5" ht="15.75" customHeight="1">
      <c r="E678" s="129"/>
    </row>
    <row r="679" spans="5:5" ht="15.75" customHeight="1">
      <c r="E679" s="129"/>
    </row>
    <row r="680" spans="5:5" ht="15.75" customHeight="1">
      <c r="E680" s="129"/>
    </row>
    <row r="681" spans="5:5" ht="15.75" customHeight="1">
      <c r="E681" s="129"/>
    </row>
    <row r="682" spans="5:5" ht="15.75" customHeight="1">
      <c r="E682" s="129"/>
    </row>
    <row r="683" spans="5:5" ht="15.75" customHeight="1">
      <c r="E683" s="129"/>
    </row>
    <row r="684" spans="5:5" ht="15.75" customHeight="1">
      <c r="E684" s="129"/>
    </row>
    <row r="685" spans="5:5" ht="15.75" customHeight="1">
      <c r="E685" s="129"/>
    </row>
    <row r="686" spans="5:5" ht="15.75" customHeight="1">
      <c r="E686" s="129"/>
    </row>
    <row r="687" spans="5:5" ht="15.75" customHeight="1">
      <c r="E687" s="129"/>
    </row>
    <row r="688" spans="5:5" ht="15.75" customHeight="1">
      <c r="E688" s="129"/>
    </row>
    <row r="689" spans="5:5" ht="15.75" customHeight="1">
      <c r="E689" s="129"/>
    </row>
    <row r="690" spans="5:5" ht="15.75" customHeight="1">
      <c r="E690" s="129"/>
    </row>
    <row r="691" spans="5:5" ht="15.75" customHeight="1">
      <c r="E691" s="129"/>
    </row>
    <row r="692" spans="5:5" ht="15.75" customHeight="1">
      <c r="E692" s="129"/>
    </row>
    <row r="693" spans="5:5" ht="15.75" customHeight="1">
      <c r="E693" s="129"/>
    </row>
    <row r="694" spans="5:5" ht="15.75" customHeight="1">
      <c r="E694" s="129"/>
    </row>
    <row r="695" spans="5:5" ht="15.75" customHeight="1">
      <c r="E695" s="129"/>
    </row>
    <row r="696" spans="5:5" ht="15.75" customHeight="1">
      <c r="E696" s="129"/>
    </row>
    <row r="697" spans="5:5" ht="15.75" customHeight="1">
      <c r="E697" s="129"/>
    </row>
    <row r="698" spans="5:5" ht="15.75" customHeight="1">
      <c r="E698" s="129"/>
    </row>
    <row r="699" spans="5:5" ht="15.75" customHeight="1">
      <c r="E699" s="129"/>
    </row>
    <row r="700" spans="5:5" ht="15.75" customHeight="1">
      <c r="E700" s="129"/>
    </row>
    <row r="701" spans="5:5" ht="15.75" customHeight="1">
      <c r="E701" s="129"/>
    </row>
    <row r="702" spans="5:5" ht="15.75" customHeight="1">
      <c r="E702" s="129"/>
    </row>
    <row r="703" spans="5:5" ht="15.75" customHeight="1">
      <c r="E703" s="129"/>
    </row>
    <row r="704" spans="5:5" ht="15.75" customHeight="1">
      <c r="E704" s="129"/>
    </row>
    <row r="705" spans="5:5" ht="15.75" customHeight="1">
      <c r="E705" s="129"/>
    </row>
    <row r="706" spans="5:5" ht="15.75" customHeight="1">
      <c r="E706" s="129"/>
    </row>
    <row r="707" spans="5:5" ht="15.75" customHeight="1">
      <c r="E707" s="129"/>
    </row>
    <row r="708" spans="5:5" ht="15.75" customHeight="1">
      <c r="E708" s="129"/>
    </row>
    <row r="709" spans="5:5" ht="15.75" customHeight="1">
      <c r="E709" s="129"/>
    </row>
    <row r="710" spans="5:5" ht="15.75" customHeight="1">
      <c r="E710" s="129"/>
    </row>
    <row r="711" spans="5:5" ht="15.75" customHeight="1">
      <c r="E711" s="129"/>
    </row>
    <row r="712" spans="5:5" ht="15.75" customHeight="1">
      <c r="E712" s="129"/>
    </row>
    <row r="713" spans="5:5" ht="15.75" customHeight="1">
      <c r="E713" s="129"/>
    </row>
    <row r="714" spans="5:5" ht="15.75" customHeight="1">
      <c r="E714" s="129"/>
    </row>
    <row r="715" spans="5:5" ht="15.75" customHeight="1">
      <c r="E715" s="129"/>
    </row>
    <row r="716" spans="5:5" ht="15.75" customHeight="1">
      <c r="E716" s="129"/>
    </row>
    <row r="717" spans="5:5" ht="15.75" customHeight="1">
      <c r="E717" s="129"/>
    </row>
    <row r="718" spans="5:5" ht="15.75" customHeight="1">
      <c r="E718" s="129"/>
    </row>
    <row r="719" spans="5:5" ht="15.75" customHeight="1">
      <c r="E719" s="129"/>
    </row>
    <row r="720" spans="5:5" ht="15.75" customHeight="1">
      <c r="E720" s="129"/>
    </row>
    <row r="721" spans="5:5" ht="15.75" customHeight="1">
      <c r="E721" s="129"/>
    </row>
    <row r="722" spans="5:5" ht="15.75" customHeight="1">
      <c r="E722" s="129"/>
    </row>
    <row r="723" spans="5:5" ht="15.75" customHeight="1">
      <c r="E723" s="129"/>
    </row>
    <row r="724" spans="5:5" ht="15.75" customHeight="1">
      <c r="E724" s="129"/>
    </row>
    <row r="725" spans="5:5" ht="15.75" customHeight="1">
      <c r="E725" s="129"/>
    </row>
    <row r="726" spans="5:5" ht="15.75" customHeight="1">
      <c r="E726" s="129"/>
    </row>
    <row r="727" spans="5:5" ht="15.75" customHeight="1">
      <c r="E727" s="129"/>
    </row>
    <row r="728" spans="5:5" ht="15.75" customHeight="1">
      <c r="E728" s="129"/>
    </row>
    <row r="729" spans="5:5" ht="15.75" customHeight="1">
      <c r="E729" s="129"/>
    </row>
    <row r="730" spans="5:5" ht="15.75" customHeight="1">
      <c r="E730" s="129"/>
    </row>
    <row r="731" spans="5:5" ht="15.75" customHeight="1">
      <c r="E731" s="129"/>
    </row>
    <row r="732" spans="5:5" ht="15.75" customHeight="1">
      <c r="E732" s="129"/>
    </row>
    <row r="733" spans="5:5" ht="15.75" customHeight="1">
      <c r="E733" s="129"/>
    </row>
    <row r="734" spans="5:5" ht="15.75" customHeight="1">
      <c r="E734" s="129"/>
    </row>
    <row r="735" spans="5:5" ht="15.75" customHeight="1">
      <c r="E735" s="129"/>
    </row>
    <row r="736" spans="5:5" ht="15.75" customHeight="1">
      <c r="E736" s="129"/>
    </row>
    <row r="737" spans="5:5" ht="15.75" customHeight="1">
      <c r="E737" s="129"/>
    </row>
    <row r="738" spans="5:5" ht="15.75" customHeight="1">
      <c r="E738" s="129"/>
    </row>
    <row r="739" spans="5:5" ht="15.75" customHeight="1">
      <c r="E739" s="129"/>
    </row>
    <row r="740" spans="5:5" ht="15.75" customHeight="1">
      <c r="E740" s="129"/>
    </row>
    <row r="741" spans="5:5" ht="15.75" customHeight="1">
      <c r="E741" s="129"/>
    </row>
    <row r="742" spans="5:5" ht="15.75" customHeight="1">
      <c r="E742" s="129"/>
    </row>
    <row r="743" spans="5:5" ht="15.75" customHeight="1">
      <c r="E743" s="129"/>
    </row>
    <row r="744" spans="5:5" ht="15.75" customHeight="1">
      <c r="E744" s="129"/>
    </row>
    <row r="745" spans="5:5" ht="15.75" customHeight="1">
      <c r="E745" s="129"/>
    </row>
    <row r="746" spans="5:5" ht="15.75" customHeight="1">
      <c r="E746" s="129"/>
    </row>
    <row r="747" spans="5:5" ht="15.75" customHeight="1">
      <c r="E747" s="129"/>
    </row>
    <row r="748" spans="5:5" ht="15.75" customHeight="1">
      <c r="E748" s="129"/>
    </row>
    <row r="749" spans="5:5" ht="15.75" customHeight="1">
      <c r="E749" s="129"/>
    </row>
    <row r="750" spans="5:5" ht="15.75" customHeight="1">
      <c r="E750" s="129"/>
    </row>
    <row r="751" spans="5:5" ht="15.75" customHeight="1">
      <c r="E751" s="129"/>
    </row>
    <row r="752" spans="5:5" ht="15.75" customHeight="1">
      <c r="E752" s="129"/>
    </row>
    <row r="753" spans="5:5" ht="15.75" customHeight="1">
      <c r="E753" s="129"/>
    </row>
    <row r="754" spans="5:5" ht="15.75" customHeight="1">
      <c r="E754" s="129"/>
    </row>
    <row r="755" spans="5:5" ht="15.75" customHeight="1">
      <c r="E755" s="129"/>
    </row>
    <row r="756" spans="5:5" ht="15.75" customHeight="1">
      <c r="E756" s="129"/>
    </row>
    <row r="757" spans="5:5" ht="15.75" customHeight="1">
      <c r="E757" s="129"/>
    </row>
    <row r="758" spans="5:5" ht="15.75" customHeight="1">
      <c r="E758" s="129"/>
    </row>
    <row r="759" spans="5:5" ht="15.75" customHeight="1">
      <c r="E759" s="129"/>
    </row>
    <row r="760" spans="5:5" ht="15.75" customHeight="1">
      <c r="E760" s="129"/>
    </row>
    <row r="761" spans="5:5" ht="15.75" customHeight="1">
      <c r="E761" s="129"/>
    </row>
    <row r="762" spans="5:5" ht="15.75" customHeight="1">
      <c r="E762" s="129"/>
    </row>
    <row r="763" spans="5:5" ht="15.75" customHeight="1">
      <c r="E763" s="129"/>
    </row>
    <row r="764" spans="5:5" ht="15.75" customHeight="1">
      <c r="E764" s="129"/>
    </row>
    <row r="765" spans="5:5" ht="15.75" customHeight="1">
      <c r="E765" s="129"/>
    </row>
    <row r="766" spans="5:5" ht="15.75" customHeight="1">
      <c r="E766" s="129"/>
    </row>
    <row r="767" spans="5:5" ht="15.75" customHeight="1">
      <c r="E767" s="129"/>
    </row>
    <row r="768" spans="5:5" ht="15.75" customHeight="1">
      <c r="E768" s="129"/>
    </row>
    <row r="769" spans="5:5" ht="15.75" customHeight="1">
      <c r="E769" s="129"/>
    </row>
    <row r="770" spans="5:5" ht="15.75" customHeight="1">
      <c r="E770" s="129"/>
    </row>
    <row r="771" spans="5:5" ht="15.75" customHeight="1">
      <c r="E771" s="129"/>
    </row>
    <row r="772" spans="5:5" ht="15.75" customHeight="1">
      <c r="E772" s="129"/>
    </row>
    <row r="773" spans="5:5" ht="15.75" customHeight="1">
      <c r="E773" s="129"/>
    </row>
    <row r="774" spans="5:5" ht="15.75" customHeight="1">
      <c r="E774" s="129"/>
    </row>
    <row r="775" spans="5:5" ht="15.75" customHeight="1">
      <c r="E775" s="129"/>
    </row>
    <row r="776" spans="5:5" ht="15.75" customHeight="1">
      <c r="E776" s="129"/>
    </row>
    <row r="777" spans="5:5" ht="15.75" customHeight="1">
      <c r="E777" s="129"/>
    </row>
    <row r="778" spans="5:5" ht="15.75" customHeight="1">
      <c r="E778" s="129"/>
    </row>
    <row r="779" spans="5:5" ht="15.75" customHeight="1">
      <c r="E779" s="129"/>
    </row>
    <row r="780" spans="5:5" ht="15.75" customHeight="1">
      <c r="E780" s="129"/>
    </row>
    <row r="781" spans="5:5" ht="15.75" customHeight="1">
      <c r="E781" s="129"/>
    </row>
    <row r="782" spans="5:5" ht="15.75" customHeight="1">
      <c r="E782" s="129"/>
    </row>
    <row r="783" spans="5:5" ht="15.75" customHeight="1">
      <c r="E783" s="129"/>
    </row>
    <row r="784" spans="5:5" ht="15.75" customHeight="1">
      <c r="E784" s="129"/>
    </row>
    <row r="785" spans="5:5" ht="15.75" customHeight="1">
      <c r="E785" s="129"/>
    </row>
    <row r="786" spans="5:5" ht="15.75" customHeight="1">
      <c r="E786" s="129"/>
    </row>
    <row r="787" spans="5:5" ht="15.75" customHeight="1">
      <c r="E787" s="129"/>
    </row>
    <row r="788" spans="5:5" ht="15.75" customHeight="1">
      <c r="E788" s="129"/>
    </row>
    <row r="789" spans="5:5" ht="15.75" customHeight="1">
      <c r="E789" s="129"/>
    </row>
    <row r="790" spans="5:5" ht="15.75" customHeight="1">
      <c r="E790" s="129"/>
    </row>
    <row r="791" spans="5:5" ht="15.75" customHeight="1">
      <c r="E791" s="129"/>
    </row>
    <row r="792" spans="5:5" ht="15.75" customHeight="1">
      <c r="E792" s="129"/>
    </row>
    <row r="793" spans="5:5" ht="15.75" customHeight="1">
      <c r="E793" s="129"/>
    </row>
    <row r="794" spans="5:5" ht="15.75" customHeight="1">
      <c r="E794" s="129"/>
    </row>
    <row r="795" spans="5:5" ht="15.75" customHeight="1">
      <c r="E795" s="129"/>
    </row>
    <row r="796" spans="5:5" ht="15.75" customHeight="1">
      <c r="E796" s="129"/>
    </row>
    <row r="797" spans="5:5" ht="15.75" customHeight="1">
      <c r="E797" s="129"/>
    </row>
    <row r="798" spans="5:5" ht="15.75" customHeight="1">
      <c r="E798" s="129"/>
    </row>
    <row r="799" spans="5:5" ht="15.75" customHeight="1">
      <c r="E799" s="129"/>
    </row>
    <row r="800" spans="5:5" ht="15.75" customHeight="1">
      <c r="E800" s="129"/>
    </row>
    <row r="801" spans="5:5" ht="15.75" customHeight="1">
      <c r="E801" s="129"/>
    </row>
    <row r="802" spans="5:5" ht="15.75" customHeight="1">
      <c r="E802" s="129"/>
    </row>
    <row r="803" spans="5:5" ht="15.75" customHeight="1">
      <c r="E803" s="129"/>
    </row>
    <row r="804" spans="5:5" ht="15.75" customHeight="1">
      <c r="E804" s="129"/>
    </row>
    <row r="805" spans="5:5" ht="15.75" customHeight="1">
      <c r="E805" s="129"/>
    </row>
    <row r="806" spans="5:5" ht="15.75" customHeight="1">
      <c r="E806" s="129"/>
    </row>
    <row r="807" spans="5:5" ht="15.75" customHeight="1">
      <c r="E807" s="129"/>
    </row>
    <row r="808" spans="5:5" ht="15.75" customHeight="1">
      <c r="E808" s="129"/>
    </row>
    <row r="809" spans="5:5" ht="15.75" customHeight="1">
      <c r="E809" s="129"/>
    </row>
    <row r="810" spans="5:5" ht="15.75" customHeight="1">
      <c r="E810" s="129"/>
    </row>
    <row r="811" spans="5:5" ht="15.75" customHeight="1">
      <c r="E811" s="129"/>
    </row>
    <row r="812" spans="5:5" ht="15.75" customHeight="1">
      <c r="E812" s="129"/>
    </row>
    <row r="813" spans="5:5" ht="15.75" customHeight="1">
      <c r="E813" s="129"/>
    </row>
    <row r="814" spans="5:5" ht="15.75" customHeight="1">
      <c r="E814" s="129"/>
    </row>
    <row r="815" spans="5:5" ht="15.75" customHeight="1">
      <c r="E815" s="129"/>
    </row>
    <row r="816" spans="5:5" ht="15.75" customHeight="1">
      <c r="E816" s="129"/>
    </row>
    <row r="817" spans="5:5" ht="15.75" customHeight="1">
      <c r="E817" s="129"/>
    </row>
    <row r="818" spans="5:5" ht="15.75" customHeight="1">
      <c r="E818" s="129"/>
    </row>
    <row r="819" spans="5:5" ht="15.75" customHeight="1">
      <c r="E819" s="129"/>
    </row>
    <row r="820" spans="5:5" ht="15.75" customHeight="1">
      <c r="E820" s="129"/>
    </row>
    <row r="821" spans="5:5" ht="15.75" customHeight="1">
      <c r="E821" s="129"/>
    </row>
    <row r="822" spans="5:5" ht="15.75" customHeight="1">
      <c r="E822" s="129"/>
    </row>
    <row r="823" spans="5:5" ht="15.75" customHeight="1">
      <c r="E823" s="129"/>
    </row>
    <row r="824" spans="5:5" ht="15.75" customHeight="1">
      <c r="E824" s="129"/>
    </row>
    <row r="825" spans="5:5" ht="15.75" customHeight="1">
      <c r="E825" s="129"/>
    </row>
    <row r="826" spans="5:5" ht="15.75" customHeight="1">
      <c r="E826" s="129"/>
    </row>
    <row r="827" spans="5:5" ht="15.75" customHeight="1">
      <c r="E827" s="129"/>
    </row>
    <row r="828" spans="5:5" ht="15.75" customHeight="1">
      <c r="E828" s="129"/>
    </row>
    <row r="829" spans="5:5" ht="15.75" customHeight="1">
      <c r="E829" s="129"/>
    </row>
    <row r="830" spans="5:5" ht="15.75" customHeight="1">
      <c r="E830" s="129"/>
    </row>
    <row r="831" spans="5:5" ht="15.75" customHeight="1">
      <c r="E831" s="129"/>
    </row>
    <row r="832" spans="5:5" ht="15.75" customHeight="1">
      <c r="E832" s="129"/>
    </row>
    <row r="833" spans="5:5" ht="15.75" customHeight="1">
      <c r="E833" s="129"/>
    </row>
    <row r="834" spans="5:5" ht="15.75" customHeight="1">
      <c r="E834" s="129"/>
    </row>
    <row r="835" spans="5:5" ht="15.75" customHeight="1">
      <c r="E835" s="129"/>
    </row>
    <row r="836" spans="5:5" ht="15.75" customHeight="1">
      <c r="E836" s="129"/>
    </row>
    <row r="837" spans="5:5" ht="15.75" customHeight="1">
      <c r="E837" s="129"/>
    </row>
    <row r="838" spans="5:5" ht="15.75" customHeight="1">
      <c r="E838" s="129"/>
    </row>
    <row r="839" spans="5:5" ht="15.75" customHeight="1">
      <c r="E839" s="129"/>
    </row>
    <row r="840" spans="5:5" ht="15.75" customHeight="1">
      <c r="E840" s="129"/>
    </row>
    <row r="841" spans="5:5" ht="15.75" customHeight="1">
      <c r="E841" s="129"/>
    </row>
    <row r="842" spans="5:5" ht="15.75" customHeight="1">
      <c r="E842" s="129"/>
    </row>
    <row r="843" spans="5:5" ht="15.75" customHeight="1">
      <c r="E843" s="129"/>
    </row>
    <row r="844" spans="5:5" ht="15.75" customHeight="1">
      <c r="E844" s="129"/>
    </row>
    <row r="845" spans="5:5" ht="15.75" customHeight="1">
      <c r="E845" s="129"/>
    </row>
    <row r="846" spans="5:5" ht="15.75" customHeight="1">
      <c r="E846" s="129"/>
    </row>
    <row r="847" spans="5:5" ht="15.75" customHeight="1">
      <c r="E847" s="129"/>
    </row>
    <row r="848" spans="5:5" ht="15.75" customHeight="1">
      <c r="E848" s="129"/>
    </row>
    <row r="849" spans="5:5" ht="15.75" customHeight="1">
      <c r="E849" s="129"/>
    </row>
    <row r="850" spans="5:5" ht="15.75" customHeight="1">
      <c r="E850" s="129"/>
    </row>
    <row r="851" spans="5:5" ht="15.75" customHeight="1">
      <c r="E851" s="129"/>
    </row>
    <row r="852" spans="5:5" ht="15.75" customHeight="1">
      <c r="E852" s="129"/>
    </row>
    <row r="853" spans="5:5" ht="15.75" customHeight="1">
      <c r="E853" s="129"/>
    </row>
    <row r="854" spans="5:5" ht="15.75" customHeight="1">
      <c r="E854" s="129"/>
    </row>
    <row r="855" spans="5:5" ht="15.75" customHeight="1">
      <c r="E855" s="129"/>
    </row>
    <row r="856" spans="5:5" ht="15.75" customHeight="1">
      <c r="E856" s="129"/>
    </row>
    <row r="857" spans="5:5" ht="15.75" customHeight="1">
      <c r="E857" s="129"/>
    </row>
    <row r="858" spans="5:5" ht="15.75" customHeight="1">
      <c r="E858" s="129"/>
    </row>
    <row r="859" spans="5:5" ht="15.75" customHeight="1">
      <c r="E859" s="129"/>
    </row>
    <row r="860" spans="5:5" ht="15.75" customHeight="1">
      <c r="E860" s="129"/>
    </row>
    <row r="861" spans="5:5" ht="15.75" customHeight="1">
      <c r="E861" s="129"/>
    </row>
    <row r="862" spans="5:5" ht="15.75" customHeight="1">
      <c r="E862" s="129"/>
    </row>
    <row r="863" spans="5:5" ht="15.75" customHeight="1">
      <c r="E863" s="129"/>
    </row>
    <row r="864" spans="5:5" ht="15.75" customHeight="1">
      <c r="E864" s="129"/>
    </row>
    <row r="865" spans="5:5" ht="15.75" customHeight="1">
      <c r="E865" s="129"/>
    </row>
    <row r="866" spans="5:5" ht="15.75" customHeight="1">
      <c r="E866" s="129"/>
    </row>
    <row r="867" spans="5:5" ht="15.75" customHeight="1">
      <c r="E867" s="129"/>
    </row>
    <row r="868" spans="5:5" ht="15.75" customHeight="1">
      <c r="E868" s="129"/>
    </row>
    <row r="869" spans="5:5" ht="15.75" customHeight="1">
      <c r="E869" s="129"/>
    </row>
    <row r="870" spans="5:5" ht="15.75" customHeight="1">
      <c r="E870" s="129"/>
    </row>
    <row r="871" spans="5:5" ht="15.75" customHeight="1">
      <c r="E871" s="129"/>
    </row>
    <row r="872" spans="5:5" ht="15.75" customHeight="1">
      <c r="E872" s="129"/>
    </row>
    <row r="873" spans="5:5" ht="15.75" customHeight="1">
      <c r="E873" s="129"/>
    </row>
    <row r="874" spans="5:5" ht="15.75" customHeight="1">
      <c r="E874" s="129"/>
    </row>
    <row r="875" spans="5:5" ht="15.75" customHeight="1">
      <c r="E875" s="129"/>
    </row>
    <row r="876" spans="5:5" ht="15.75" customHeight="1">
      <c r="E876" s="129"/>
    </row>
    <row r="877" spans="5:5" ht="15.75" customHeight="1">
      <c r="E877" s="129"/>
    </row>
    <row r="878" spans="5:5" ht="15.75" customHeight="1">
      <c r="E878" s="129"/>
    </row>
    <row r="879" spans="5:5" ht="15.75" customHeight="1">
      <c r="E879" s="129"/>
    </row>
    <row r="880" spans="5:5" ht="15.75" customHeight="1">
      <c r="E880" s="129"/>
    </row>
    <row r="881" spans="5:5" ht="15.75" customHeight="1">
      <c r="E881" s="129"/>
    </row>
    <row r="882" spans="5:5" ht="15.75" customHeight="1">
      <c r="E882" s="129"/>
    </row>
    <row r="883" spans="5:5" ht="15.75" customHeight="1">
      <c r="E883" s="129"/>
    </row>
    <row r="884" spans="5:5" ht="15.75" customHeight="1">
      <c r="E884" s="129"/>
    </row>
    <row r="885" spans="5:5" ht="15.75" customHeight="1">
      <c r="E885" s="129"/>
    </row>
    <row r="886" spans="5:5" ht="15.75" customHeight="1">
      <c r="E886" s="129"/>
    </row>
    <row r="887" spans="5:5" ht="15.75" customHeight="1">
      <c r="E887" s="129"/>
    </row>
    <row r="888" spans="5:5" ht="15.75" customHeight="1">
      <c r="E888" s="129"/>
    </row>
    <row r="889" spans="5:5" ht="15.75" customHeight="1">
      <c r="E889" s="129"/>
    </row>
    <row r="890" spans="5:5" ht="15.75" customHeight="1">
      <c r="E890" s="129"/>
    </row>
    <row r="891" spans="5:5" ht="15.75" customHeight="1">
      <c r="E891" s="129"/>
    </row>
    <row r="892" spans="5:5" ht="15.75" customHeight="1">
      <c r="E892" s="129"/>
    </row>
    <row r="893" spans="5:5" ht="15.75" customHeight="1">
      <c r="E893" s="129"/>
    </row>
    <row r="894" spans="5:5" ht="15.75" customHeight="1">
      <c r="E894" s="129"/>
    </row>
    <row r="895" spans="5:5" ht="15.75" customHeight="1">
      <c r="E895" s="129"/>
    </row>
    <row r="896" spans="5:5" ht="15.75" customHeight="1">
      <c r="E896" s="129"/>
    </row>
    <row r="897" spans="5:5" ht="15.75" customHeight="1">
      <c r="E897" s="129"/>
    </row>
    <row r="898" spans="5:5" ht="15.75" customHeight="1">
      <c r="E898" s="129"/>
    </row>
    <row r="899" spans="5:5" ht="15.75" customHeight="1">
      <c r="E899" s="129"/>
    </row>
    <row r="900" spans="5:5" ht="15.75" customHeight="1">
      <c r="E900" s="129"/>
    </row>
    <row r="901" spans="5:5" ht="15.75" customHeight="1">
      <c r="E901" s="129"/>
    </row>
    <row r="902" spans="5:5" ht="15.75" customHeight="1">
      <c r="E902" s="129"/>
    </row>
    <row r="903" spans="5:5" ht="15.75" customHeight="1">
      <c r="E903" s="129"/>
    </row>
    <row r="904" spans="5:5" ht="15.75" customHeight="1">
      <c r="E904" s="129"/>
    </row>
    <row r="905" spans="5:5" ht="15.75" customHeight="1">
      <c r="E905" s="129"/>
    </row>
    <row r="906" spans="5:5" ht="15.75" customHeight="1">
      <c r="E906" s="129"/>
    </row>
    <row r="907" spans="5:5" ht="15.75" customHeight="1">
      <c r="E907" s="129"/>
    </row>
    <row r="908" spans="5:5" ht="15.75" customHeight="1">
      <c r="E908" s="129"/>
    </row>
    <row r="909" spans="5:5" ht="15.75" customHeight="1">
      <c r="E909" s="129"/>
    </row>
    <row r="910" spans="5:5" ht="15.75" customHeight="1">
      <c r="E910" s="129"/>
    </row>
    <row r="911" spans="5:5" ht="15.75" customHeight="1">
      <c r="E911" s="129"/>
    </row>
    <row r="912" spans="5:5" ht="15.75" customHeight="1">
      <c r="E912" s="129"/>
    </row>
    <row r="913" spans="5:5" ht="15.75" customHeight="1">
      <c r="E913" s="129"/>
    </row>
    <row r="914" spans="5:5" ht="15.75" customHeight="1">
      <c r="E914" s="129"/>
    </row>
    <row r="915" spans="5:5" ht="15.75" customHeight="1">
      <c r="E915" s="129"/>
    </row>
    <row r="916" spans="5:5" ht="15.75" customHeight="1">
      <c r="E916" s="129"/>
    </row>
    <row r="917" spans="5:5" ht="15.75" customHeight="1">
      <c r="E917" s="129"/>
    </row>
    <row r="918" spans="5:5" ht="15.75" customHeight="1">
      <c r="E918" s="129"/>
    </row>
    <row r="919" spans="5:5" ht="15.75" customHeight="1">
      <c r="E919" s="129"/>
    </row>
    <row r="920" spans="5:5" ht="15.75" customHeight="1">
      <c r="E920" s="129"/>
    </row>
    <row r="921" spans="5:5" ht="15.75" customHeight="1">
      <c r="E921" s="129"/>
    </row>
    <row r="922" spans="5:5" ht="15.75" customHeight="1">
      <c r="E922" s="129"/>
    </row>
    <row r="923" spans="5:5" ht="15.75" customHeight="1">
      <c r="E923" s="129"/>
    </row>
    <row r="924" spans="5:5" ht="15.75" customHeight="1">
      <c r="E924" s="129"/>
    </row>
    <row r="925" spans="5:5" ht="15.75" customHeight="1">
      <c r="E925" s="129"/>
    </row>
    <row r="926" spans="5:5" ht="15.75" customHeight="1">
      <c r="E926" s="129"/>
    </row>
    <row r="927" spans="5:5" ht="15.75" customHeight="1">
      <c r="E927" s="129"/>
    </row>
    <row r="928" spans="5:5" ht="15.75" customHeight="1">
      <c r="E928" s="129"/>
    </row>
    <row r="929" spans="5:5" ht="15.75" customHeight="1">
      <c r="E929" s="129"/>
    </row>
    <row r="930" spans="5:5" ht="15.75" customHeight="1">
      <c r="E930" s="129"/>
    </row>
    <row r="931" spans="5:5" ht="15.75" customHeight="1">
      <c r="E931" s="129"/>
    </row>
    <row r="932" spans="5:5" ht="15.75" customHeight="1">
      <c r="E932" s="129"/>
    </row>
    <row r="933" spans="5:5" ht="15.75" customHeight="1">
      <c r="E933" s="129"/>
    </row>
    <row r="934" spans="5:5" ht="15.75" customHeight="1">
      <c r="E934" s="129"/>
    </row>
    <row r="935" spans="5:5" ht="15.75" customHeight="1">
      <c r="E935" s="129"/>
    </row>
    <row r="936" spans="5:5" ht="15.75" customHeight="1">
      <c r="E936" s="129"/>
    </row>
    <row r="937" spans="5:5" ht="15.75" customHeight="1">
      <c r="E937" s="129"/>
    </row>
    <row r="938" spans="5:5" ht="15.75" customHeight="1">
      <c r="E938" s="129"/>
    </row>
    <row r="939" spans="5:5" ht="15.75" customHeight="1">
      <c r="E939" s="129"/>
    </row>
    <row r="940" spans="5:5" ht="15.75" customHeight="1">
      <c r="E940" s="129"/>
    </row>
    <row r="941" spans="5:5" ht="15.75" customHeight="1">
      <c r="E941" s="129"/>
    </row>
    <row r="942" spans="5:5" ht="15.75" customHeight="1">
      <c r="E942" s="129"/>
    </row>
    <row r="943" spans="5:5" ht="15.75" customHeight="1">
      <c r="E943" s="129"/>
    </row>
    <row r="944" spans="5:5" ht="15.75" customHeight="1">
      <c r="E944" s="129"/>
    </row>
    <row r="945" spans="5:5" ht="15.75" customHeight="1">
      <c r="E945" s="129"/>
    </row>
    <row r="946" spans="5:5" ht="15.75" customHeight="1">
      <c r="E946" s="129"/>
    </row>
    <row r="947" spans="5:5" ht="15.75" customHeight="1">
      <c r="E947" s="129"/>
    </row>
    <row r="948" spans="5:5" ht="15.75" customHeight="1">
      <c r="E948" s="129"/>
    </row>
    <row r="949" spans="5:5" ht="15.75" customHeight="1">
      <c r="E949" s="129"/>
    </row>
    <row r="950" spans="5:5" ht="15.75" customHeight="1">
      <c r="E950" s="129"/>
    </row>
    <row r="951" spans="5:5" ht="15.75" customHeight="1">
      <c r="E951" s="129"/>
    </row>
    <row r="952" spans="5:5" ht="15.75" customHeight="1">
      <c r="E952" s="129"/>
    </row>
    <row r="953" spans="5:5" ht="15.75" customHeight="1">
      <c r="E953" s="129"/>
    </row>
    <row r="954" spans="5:5" ht="15.75" customHeight="1">
      <c r="E954" s="129"/>
    </row>
    <row r="955" spans="5:5" ht="15.75" customHeight="1">
      <c r="E955" s="129"/>
    </row>
    <row r="956" spans="5:5" ht="15.75" customHeight="1">
      <c r="E956" s="129"/>
    </row>
    <row r="957" spans="5:5" ht="15.75" customHeight="1">
      <c r="E957" s="129"/>
    </row>
    <row r="958" spans="5:5" ht="15.75" customHeight="1">
      <c r="E958" s="129"/>
    </row>
    <row r="959" spans="5:5" ht="15.75" customHeight="1">
      <c r="E959" s="129"/>
    </row>
    <row r="960" spans="5:5" ht="15.75" customHeight="1">
      <c r="E960" s="129"/>
    </row>
    <row r="961" spans="5:5" ht="15.75" customHeight="1">
      <c r="E961" s="129"/>
    </row>
    <row r="962" spans="5:5" ht="15.75" customHeight="1">
      <c r="E962" s="129"/>
    </row>
    <row r="963" spans="5:5" ht="15.75" customHeight="1">
      <c r="E963" s="129"/>
    </row>
    <row r="964" spans="5:5" ht="15.75" customHeight="1">
      <c r="E964" s="129"/>
    </row>
    <row r="965" spans="5:5" ht="15.75" customHeight="1">
      <c r="E965" s="129"/>
    </row>
    <row r="966" spans="5:5" ht="15.75" customHeight="1">
      <c r="E966" s="129"/>
    </row>
    <row r="967" spans="5:5" ht="15.75" customHeight="1">
      <c r="E967" s="129"/>
    </row>
    <row r="968" spans="5:5" ht="15.75" customHeight="1">
      <c r="E968" s="129"/>
    </row>
    <row r="969" spans="5:5" ht="15.75" customHeight="1">
      <c r="E969" s="129"/>
    </row>
    <row r="970" spans="5:5" ht="15.75" customHeight="1">
      <c r="E970" s="129"/>
    </row>
    <row r="971" spans="5:5" ht="15.75" customHeight="1">
      <c r="E971" s="129"/>
    </row>
    <row r="972" spans="5:5" ht="15.75" customHeight="1">
      <c r="E972" s="129"/>
    </row>
    <row r="973" spans="5:5" ht="15.75" customHeight="1">
      <c r="E973" s="129"/>
    </row>
    <row r="974" spans="5:5" ht="15.75" customHeight="1">
      <c r="E974" s="129"/>
    </row>
    <row r="975" spans="5:5" ht="15.75" customHeight="1">
      <c r="E975" s="129"/>
    </row>
    <row r="976" spans="5:5" ht="15.75" customHeight="1">
      <c r="E976" s="129"/>
    </row>
    <row r="977" spans="5:5" ht="15.75" customHeight="1">
      <c r="E977" s="129"/>
    </row>
    <row r="978" spans="5:5" ht="15.75" customHeight="1">
      <c r="E978" s="129"/>
    </row>
    <row r="979" spans="5:5" ht="15.75" customHeight="1">
      <c r="E979" s="129"/>
    </row>
    <row r="980" spans="5:5" ht="15.75" customHeight="1">
      <c r="E980" s="129"/>
    </row>
    <row r="981" spans="5:5" ht="15.75" customHeight="1">
      <c r="E981" s="129"/>
    </row>
    <row r="982" spans="5:5" ht="15.75" customHeight="1">
      <c r="E982" s="129"/>
    </row>
    <row r="983" spans="5:5" ht="15.75" customHeight="1">
      <c r="E983" s="129"/>
    </row>
    <row r="984" spans="5:5" ht="15.75" customHeight="1">
      <c r="E984" s="129"/>
    </row>
    <row r="985" spans="5:5" ht="15.75" customHeight="1">
      <c r="E985" s="129"/>
    </row>
    <row r="986" spans="5:5" ht="15.75" customHeight="1">
      <c r="E986" s="129"/>
    </row>
    <row r="987" spans="5:5" ht="15.75" customHeight="1">
      <c r="E987" s="129"/>
    </row>
    <row r="988" spans="5:5" ht="15.75" customHeight="1">
      <c r="E988" s="129"/>
    </row>
    <row r="989" spans="5:5" ht="15.75" customHeight="1">
      <c r="E989" s="129"/>
    </row>
    <row r="990" spans="5:5" ht="15.75" customHeight="1">
      <c r="E990" s="129"/>
    </row>
    <row r="991" spans="5:5" ht="15.75" customHeight="1">
      <c r="E991" s="129"/>
    </row>
    <row r="992" spans="5:5" ht="15.75" customHeight="1">
      <c r="E992" s="129"/>
    </row>
    <row r="993" spans="5:5" ht="15.75" customHeight="1">
      <c r="E993" s="129"/>
    </row>
    <row r="994" spans="5:5" ht="15.75" customHeight="1">
      <c r="E994" s="129"/>
    </row>
    <row r="995" spans="5:5" ht="15.75" customHeight="1">
      <c r="E995" s="129"/>
    </row>
    <row r="996" spans="5:5" ht="15.75" customHeight="1">
      <c r="E996" s="129"/>
    </row>
    <row r="997" spans="5:5" ht="15.75" customHeight="1">
      <c r="E997" s="129"/>
    </row>
    <row r="998" spans="5:5" ht="15.75" customHeight="1">
      <c r="E998" s="129"/>
    </row>
    <row r="999" spans="5:5" ht="15.75" customHeight="1">
      <c r="E999" s="129"/>
    </row>
    <row r="1000" spans="5:5" ht="15.75" customHeight="1">
      <c r="E1000" s="129"/>
    </row>
    <row r="1001" spans="5:5" ht="15.75" customHeight="1">
      <c r="E1001" s="129"/>
    </row>
    <row r="1002" spans="5:5" ht="15.75" customHeight="1">
      <c r="E1002" s="129"/>
    </row>
  </sheetData>
  <autoFilter ref="A1:AC107" xr:uid="{00000000-0009-0000-0000-000002000000}"/>
  <mergeCells count="7">
    <mergeCell ref="A39:D39"/>
    <mergeCell ref="A45:D45"/>
    <mergeCell ref="A8:D8"/>
    <mergeCell ref="A15:D15"/>
    <mergeCell ref="A21:D21"/>
    <mergeCell ref="A27:D27"/>
    <mergeCell ref="A33:D33"/>
  </mergeCells>
  <conditionalFormatting sqref="A40:A43">
    <cfRule type="cellIs" dxfId="10" priority="1" operator="equal">
      <formula>"VIA AEREA"</formula>
    </cfRule>
    <cfRule type="cellIs" dxfId="9" priority="2" operator="equal">
      <formula>"GOTAS"</formula>
    </cfRule>
    <cfRule type="cellIs" dxfId="8" priority="3" operator="equal">
      <formula>"CONTACTO"</formula>
    </cfRule>
  </conditionalFormatting>
  <conditionalFormatting sqref="D1 D7 D20 D26 D32 D44 D50:D1002">
    <cfRule type="cellIs" dxfId="7" priority="4" operator="lessThan">
      <formula>0.7</formula>
    </cfRule>
  </conditionalFormatting>
  <conditionalFormatting sqref="I1 A16:A20 A28:A32 I82:I107">
    <cfRule type="cellIs" dxfId="6" priority="5" operator="equal">
      <formula>"VIA AEREA"</formula>
    </cfRule>
    <cfRule type="cellIs" dxfId="5" priority="6" operator="equal">
      <formula>"GOTAS"</formula>
    </cfRule>
    <cfRule type="cellIs" dxfId="4" priority="7" operator="equal">
      <formula>"CONTACTO"</formula>
    </cfRule>
  </conditionalFormatting>
  <conditionalFormatting sqref="S2:S107">
    <cfRule type="cellIs" dxfId="3" priority="8" operator="equal">
      <formula>"NO CUMPLE"</formula>
    </cfRule>
    <cfRule type="cellIs" dxfId="2" priority="9" operator="equal">
      <formula>"CUMPLE"</formula>
    </cfRule>
  </conditionalFormatting>
  <conditionalFormatting sqref="T49:U89 S120:U1002">
    <cfRule type="cellIs" dxfId="1" priority="10" operator="equal">
      <formula>"NO CUMPLE"</formula>
    </cfRule>
    <cfRule type="cellIs" dxfId="0" priority="11" operator="equal">
      <formula>"CUMPLE"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200-000000000000}">
          <x14:formula1>
            <xm:f>listas!$A$2:$A$5</xm:f>
          </x14:formula1>
          <xm:sqref>G2:G42</xm:sqref>
        </x14:dataValidation>
        <x14:dataValidation type="list" allowBlank="1" showErrorMessage="1" xr:uid="{00000000-0002-0000-0200-000001000000}">
          <x14:formula1>
            <xm:f>listas!$B$2:$B$14</xm:f>
          </x14:formula1>
          <xm:sqref>H2:H43</xm:sqref>
        </x14:dataValidation>
        <x14:dataValidation type="list" allowBlank="1" showErrorMessage="1" xr:uid="{00000000-0002-0000-0200-000003000000}">
          <x14:formula1>
            <xm:f>listas!$D$2:$D$5</xm:f>
          </x14:formula1>
          <xm:sqref>N2:N58</xm:sqref>
        </x14:dataValidation>
        <x14:dataValidation type="list" allowBlank="1" showErrorMessage="1" xr:uid="{00000000-0002-0000-0200-000005000000}">
          <x14:formula1>
            <xm:f>listas!$C$2:$C$5</xm:f>
          </x14:formula1>
          <xm:sqref>I2:I43</xm:sqref>
        </x14:dataValidation>
        <x14:dataValidation type="list" allowBlank="1" showErrorMessage="1" xr:uid="{00000000-0002-0000-0200-000002000000}">
          <x14:formula1>
            <xm:f>listas!#REF!</xm:f>
          </x14:formula1>
          <xm:sqref>L2:M42 J56:J68 J2:K55 Q59:Q68 Q53:R58 P43:R52 M43:M45 O2:R42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00"/>
  <sheetViews>
    <sheetView workbookViewId="0">
      <selection activeCell="D2" sqref="D2"/>
    </sheetView>
  </sheetViews>
  <sheetFormatPr baseColWidth="10" defaultColWidth="14.42578125" defaultRowHeight="15" customHeight="1"/>
  <cols>
    <col min="1" max="1" width="19.42578125" style="155" bestFit="1" customWidth="1"/>
    <col min="2" max="2" width="30" style="155" customWidth="1"/>
    <col min="3" max="3" width="20.5703125" style="155" customWidth="1"/>
    <col min="4" max="4" width="18.28515625" style="155" customWidth="1"/>
    <col min="5" max="16384" width="14.42578125" style="155"/>
  </cols>
  <sheetData>
    <row r="1" spans="1:4" ht="12.75">
      <c r="A1" s="153" t="s">
        <v>17</v>
      </c>
      <c r="B1" s="154" t="s">
        <v>65</v>
      </c>
      <c r="C1" s="154" t="s">
        <v>43</v>
      </c>
      <c r="D1" s="154" t="s">
        <v>70</v>
      </c>
    </row>
    <row r="2" spans="1:4" ht="12.75">
      <c r="A2" s="155" t="s">
        <v>32</v>
      </c>
      <c r="B2" s="157" t="s">
        <v>38</v>
      </c>
      <c r="C2" s="157" t="s">
        <v>45</v>
      </c>
      <c r="D2" s="157" t="s">
        <v>81</v>
      </c>
    </row>
    <row r="3" spans="1:4" ht="12.75">
      <c r="A3" s="157" t="s">
        <v>33</v>
      </c>
      <c r="B3" s="157" t="s">
        <v>39</v>
      </c>
      <c r="C3" s="157" t="s">
        <v>44</v>
      </c>
      <c r="D3" s="157" t="s">
        <v>89</v>
      </c>
    </row>
    <row r="4" spans="1:4" ht="12.75">
      <c r="A4" s="157" t="s">
        <v>35</v>
      </c>
      <c r="B4" s="157" t="s">
        <v>40</v>
      </c>
      <c r="C4" s="157" t="s">
        <v>46</v>
      </c>
      <c r="D4" s="157" t="s">
        <v>80</v>
      </c>
    </row>
    <row r="5" spans="1:4" ht="12.75">
      <c r="A5" s="157" t="s">
        <v>34</v>
      </c>
      <c r="B5" s="157" t="s">
        <v>144</v>
      </c>
      <c r="C5" s="157" t="s">
        <v>47</v>
      </c>
      <c r="D5" s="157" t="s">
        <v>88</v>
      </c>
    </row>
    <row r="6" spans="1:4" ht="12.75">
      <c r="A6" s="157"/>
      <c r="B6" s="157" t="s">
        <v>51</v>
      </c>
    </row>
    <row r="7" spans="1:4" ht="12.75">
      <c r="B7" s="157" t="s">
        <v>143</v>
      </c>
    </row>
    <row r="8" spans="1:4" ht="12.75">
      <c r="B8" s="157" t="s">
        <v>141</v>
      </c>
    </row>
    <row r="9" spans="1:4" ht="12.75">
      <c r="B9" s="157" t="s">
        <v>120</v>
      </c>
    </row>
    <row r="10" spans="1:4" ht="12.75">
      <c r="B10" s="156"/>
    </row>
    <row r="11" spans="1:4" ht="12.75">
      <c r="B11" s="156"/>
    </row>
    <row r="12" spans="1:4" ht="12.75">
      <c r="B12" s="156"/>
    </row>
    <row r="13" spans="1:4" ht="12.75">
      <c r="B13" s="156"/>
    </row>
    <row r="14" spans="1:4" ht="12.75">
      <c r="B14" s="156"/>
    </row>
    <row r="15" spans="1:4" ht="15" customHeight="1">
      <c r="B15" s="156"/>
    </row>
    <row r="16" spans="1:4" ht="12.75">
      <c r="B16" s="156"/>
    </row>
    <row r="17" spans="2:2" ht="12.75">
      <c r="B17" s="156"/>
    </row>
    <row r="21" spans="2:2" ht="15.75" customHeight="1"/>
    <row r="22" spans="2:2" ht="15.75" customHeight="1"/>
    <row r="23" spans="2:2" ht="15.75" customHeight="1"/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</vt:lpstr>
      <vt:lpstr>CUMPLIMIENTO 2026</vt:lpstr>
      <vt:lpstr>ENE 2026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Comité   de Infecciones</dc:creator>
  <cp:lastModifiedBy>Sistemas de información Ge2</cp:lastModifiedBy>
  <dcterms:created xsi:type="dcterms:W3CDTF">2026-01-05T13:18:30Z</dcterms:created>
  <dcterms:modified xsi:type="dcterms:W3CDTF">2026-05-19T20:49:12Z</dcterms:modified>
</cp:coreProperties>
</file>