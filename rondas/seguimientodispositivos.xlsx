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an Carlos Etayo\comiteinfecciones\rondas\"/>
    </mc:Choice>
  </mc:AlternateContent>
  <xr:revisionPtr revIDLastSave="0" documentId="13_ncr:1_{5BA2DCFA-3E81-4EE0-B6B9-577F07091367}" xr6:coauthVersionLast="47" xr6:coauthVersionMax="47" xr10:uidLastSave="{00000000-0000-0000-0000-000000000000}"/>
  <bookViews>
    <workbookView xWindow="-120" yWindow="-120" windowWidth="29040" windowHeight="15720" xr2:uid="{00000000-000D-0000-FFFF-FFFF00000000}"/>
  </bookViews>
  <sheets>
    <sheet name="2 semana.  Acceso ven" sheetId="1" r:id="rId1"/>
    <sheet name="2 Semana  Cateter Vesi" sheetId="2" r:id="rId2"/>
    <sheet name="2 Semana   Prevenci NE" sheetId="3" r:id="rId3"/>
    <sheet name="3 semana  Acceso venoso" sheetId="4" r:id="rId4"/>
    <sheet name=" de 3 Semana  Cateter Vesi" sheetId="5" r:id="rId5"/>
    <sheet name="3 Semana Hosp  Prevenc NEU" sheetId="6" r:id="rId6"/>
    <sheet name="4  semana. Acceso v" sheetId="7" r:id="rId7"/>
    <sheet name="4 Semana Cateter Vesi" sheetId="8" r:id="rId8"/>
    <sheet name="4 Semana Prevenc NEU" sheetId="9" r:id="rId9"/>
    <sheet name="5 semana. Acceso v" sheetId="10" r:id="rId10"/>
    <sheet name="5 Semana Cateter Vesi" sheetId="11" r:id="rId11"/>
    <sheet name="5 Semana Prevenc NEU" sheetId="12" r:id="rId12"/>
  </sheets>
  <definedNames>
    <definedName name="_xlnm._FilterDatabase" localSheetId="4" hidden="1">' de 3 Semana  Cateter Vesi'!$A$7:$L$30</definedName>
    <definedName name="_xlnm._FilterDatabase" localSheetId="1" hidden="1">'2 Semana  Cateter Vesi'!$A$7:$L$30</definedName>
    <definedName name="_xlnm._FilterDatabase" localSheetId="0" hidden="1">'2 semana.  Acceso ven'!$A$7:$J$40</definedName>
    <definedName name="_xlnm._FilterDatabase" localSheetId="3" hidden="1">'3 semana  Acceso venoso'!$A$7:$J$40</definedName>
    <definedName name="_xlnm._FilterDatabase" localSheetId="6" hidden="1">'4  semana. Acceso v'!$A$7:$J$32</definedName>
    <definedName name="_xlnm._FilterDatabase" localSheetId="9" hidden="1">'5 semana. Acceso v'!$A$7:$J$32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dC/LJVdbb/Q8zKNyitK58x7feY/SRgGGKp3QQCYyyfM="/>
    </ext>
  </extLst>
</workbook>
</file>

<file path=xl/calcChain.xml><?xml version="1.0" encoding="utf-8"?>
<calcChain xmlns="http://schemas.openxmlformats.org/spreadsheetml/2006/main">
  <c r="G39" i="12" l="1"/>
  <c r="G40" i="12" s="1"/>
  <c r="F39" i="12"/>
  <c r="F40" i="12" s="1"/>
  <c r="E39" i="12"/>
  <c r="E40" i="12" s="1"/>
  <c r="D39" i="12"/>
  <c r="D40" i="12" s="1"/>
  <c r="D41" i="12" s="1"/>
  <c r="A39" i="12"/>
  <c r="D27" i="11"/>
  <c r="I26" i="11"/>
  <c r="I27" i="11" s="1"/>
  <c r="H26" i="11"/>
  <c r="H27" i="11" s="1"/>
  <c r="G26" i="11"/>
  <c r="G27" i="11" s="1"/>
  <c r="F26" i="11"/>
  <c r="F27" i="11" s="1"/>
  <c r="E26" i="11"/>
  <c r="E27" i="11" s="1"/>
  <c r="D26" i="11"/>
  <c r="A26" i="11"/>
  <c r="H36" i="10"/>
  <c r="H37" i="10" s="1"/>
  <c r="G36" i="10"/>
  <c r="F36" i="10"/>
  <c r="E36" i="10"/>
  <c r="D36" i="10"/>
  <c r="A36" i="10"/>
  <c r="G37" i="10" s="1"/>
  <c r="G40" i="9"/>
  <c r="F40" i="9"/>
  <c r="F41" i="9" s="1"/>
  <c r="E40" i="9"/>
  <c r="E41" i="9" s="1"/>
  <c r="D40" i="9"/>
  <c r="A40" i="9"/>
  <c r="G41" i="9" s="1"/>
  <c r="I26" i="8"/>
  <c r="I27" i="8" s="1"/>
  <c r="H26" i="8"/>
  <c r="G26" i="8"/>
  <c r="G27" i="8" s="1"/>
  <c r="F26" i="8"/>
  <c r="E26" i="8"/>
  <c r="D26" i="8"/>
  <c r="D27" i="8" s="1"/>
  <c r="A26" i="8"/>
  <c r="F27" i="8" s="1"/>
  <c r="H36" i="7"/>
  <c r="H37" i="7" s="1"/>
  <c r="G36" i="7"/>
  <c r="G37" i="7" s="1"/>
  <c r="F36" i="7"/>
  <c r="F37" i="7" s="1"/>
  <c r="E36" i="7"/>
  <c r="E37" i="7" s="1"/>
  <c r="D36" i="7"/>
  <c r="D37" i="7" s="1"/>
  <c r="A36" i="7"/>
  <c r="F34" i="6"/>
  <c r="E34" i="6"/>
  <c r="G33" i="6"/>
  <c r="G34" i="6" s="1"/>
  <c r="F33" i="6"/>
  <c r="E33" i="6"/>
  <c r="D33" i="6"/>
  <c r="D34" i="6" s="1"/>
  <c r="D35" i="6" s="1"/>
  <c r="I34" i="5"/>
  <c r="H34" i="5"/>
  <c r="I33" i="5"/>
  <c r="H33" i="5"/>
  <c r="G33" i="5"/>
  <c r="G34" i="5" s="1"/>
  <c r="F33" i="5"/>
  <c r="F34" i="5" s="1"/>
  <c r="E33" i="5"/>
  <c r="E34" i="5" s="1"/>
  <c r="D33" i="5"/>
  <c r="D34" i="5" s="1"/>
  <c r="A33" i="5"/>
  <c r="E34" i="4"/>
  <c r="D34" i="4"/>
  <c r="H33" i="4"/>
  <c r="G33" i="4"/>
  <c r="G34" i="4" s="1"/>
  <c r="F33" i="4"/>
  <c r="F34" i="4" s="1"/>
  <c r="E33" i="4"/>
  <c r="D33" i="4"/>
  <c r="A33" i="4"/>
  <c r="G33" i="3"/>
  <c r="F33" i="3"/>
  <c r="E33" i="3"/>
  <c r="D34" i="3" s="1"/>
  <c r="D33" i="3"/>
  <c r="F32" i="3"/>
  <c r="E32" i="3"/>
  <c r="A32" i="3"/>
  <c r="I34" i="2"/>
  <c r="D34" i="2"/>
  <c r="I33" i="2"/>
  <c r="H33" i="2"/>
  <c r="H34" i="2" s="1"/>
  <c r="G33" i="2"/>
  <c r="G34" i="2" s="1"/>
  <c r="F33" i="2"/>
  <c r="F34" i="2" s="1"/>
  <c r="E33" i="2"/>
  <c r="E34" i="2" s="1"/>
  <c r="D33" i="2"/>
  <c r="A33" i="2"/>
  <c r="H33" i="1"/>
  <c r="H34" i="1" s="1"/>
  <c r="G33" i="1"/>
  <c r="G34" i="1" s="1"/>
  <c r="F33" i="1"/>
  <c r="F34" i="1" s="1"/>
  <c r="E33" i="1"/>
  <c r="E34" i="1" s="1"/>
  <c r="D33" i="1"/>
  <c r="D34" i="1" s="1"/>
  <c r="D35" i="1" l="1"/>
  <c r="D35" i="4"/>
  <c r="D28" i="11"/>
  <c r="D38" i="7"/>
  <c r="D35" i="5"/>
  <c r="D35" i="2"/>
  <c r="E27" i="8"/>
  <c r="D28" i="8" s="1"/>
  <c r="D41" i="9"/>
  <c r="D42" i="9" s="1"/>
  <c r="H27" i="8"/>
  <c r="D37" i="10"/>
  <c r="D38" i="10" s="1"/>
  <c r="E37" i="10"/>
  <c r="F37" i="10"/>
</calcChain>
</file>

<file path=xl/sharedStrings.xml><?xml version="1.0" encoding="utf-8"?>
<sst xmlns="http://schemas.openxmlformats.org/spreadsheetml/2006/main" count="536" uniqueCount="80">
  <si>
    <t>SEGUIMIENTO DE ACCESO VENOSO PERIFERICO (AVP) - CENTRALES</t>
  </si>
  <si>
    <t>CÓDIGO: SB-GSA-F-073</t>
  </si>
  <si>
    <t>VERSIÓN: 03</t>
  </si>
  <si>
    <t>VIGENCIA: 11-Mar-2024</t>
  </si>
  <si>
    <t>APLICA A:</t>
  </si>
  <si>
    <t>RED___ CAC SANTA BARBARA ___ GERIATER ___ GE2 ___</t>
  </si>
  <si>
    <t>Seguimiento de acceso venoso periférico (AVP) - Centrales</t>
  </si>
  <si>
    <t>Servicio:</t>
  </si>
  <si>
    <t>Cumple _si_1</t>
  </si>
  <si>
    <t>No Cumple_No_0</t>
  </si>
  <si>
    <t>No Aplica_NA_1</t>
  </si>
  <si>
    <t>Fecha
dd/mm/aaaa</t>
  </si>
  <si>
    <t xml:space="preserve">Ubicación-  Nro de Cama </t>
  </si>
  <si>
    <t># de accesos</t>
  </si>
  <si>
    <t>Criterio # 1
Rotulo</t>
  </si>
  <si>
    <t>Criterio # 2
Fijación</t>
  </si>
  <si>
    <t>Criterio # 3
Mantenimiento</t>
  </si>
  <si>
    <t>Criterio # 4
Pertinencia</t>
  </si>
  <si>
    <t>Criterio # 5
Educación</t>
  </si>
  <si>
    <t>Observación del NO CUMPLIMIENTO</t>
  </si>
  <si>
    <t>Lista chequeo CVC</t>
  </si>
  <si>
    <t>CC</t>
  </si>
  <si>
    <t xml:space="preserve">PEDIATRIA </t>
  </si>
  <si>
    <t>SI</t>
  </si>
  <si>
    <t xml:space="preserve">SALYA YESO </t>
  </si>
  <si>
    <t>Porcentaje total de cumplimiento educación</t>
  </si>
  <si>
    <t>Porcentaje total de cumplimiento</t>
  </si>
  <si>
    <r>
      <rPr>
        <b/>
        <i/>
        <sz val="11"/>
        <color theme="1"/>
        <rFont val="Calibri"/>
      </rPr>
      <t>Criterio # 1 :Rotulación adecuada: incluye  Fecha - hora de inserción , número de catéter utilizado, nombre de</t>
    </r>
    <r>
      <rPr>
        <i/>
        <sz val="11"/>
        <color theme="1"/>
        <rFont val="Calibri"/>
      </rPr>
      <t>l p</t>
    </r>
    <r>
      <rPr>
        <b/>
        <i/>
        <sz val="11"/>
        <color theme="1"/>
        <rFont val="Calibri"/>
      </rPr>
      <t>rofesional quien canaliza</t>
    </r>
  </si>
  <si>
    <t>Criterio # 2 : Fijación del apósito adecuada,  punto de inserción visible</t>
  </si>
  <si>
    <t>Criterio # 3 :Mantenimiento aséptico:  apósito- conectores - llaves- extensiones y equipos de administración de medicamentos limpios y vigentes (5 días)</t>
  </si>
  <si>
    <t xml:space="preserve">Criterio # 4 : Es pertinente la utilización de este dispositivo? </t>
  </si>
  <si>
    <r>
      <rPr>
        <b/>
        <i/>
        <sz val="11"/>
        <color theme="1"/>
        <rFont val="Calibri"/>
      </rPr>
      <t>Criterio # 5</t>
    </r>
    <r>
      <rPr>
        <b/>
        <i/>
        <sz val="11"/>
        <color rgb="FF000000"/>
        <rFont val="Calibri"/>
      </rPr>
      <t xml:space="preserve"> : Educación sobre signos y síntomas de flebitis </t>
    </r>
  </si>
  <si>
    <t>SEGUIMIENTO DE CATÉTER URINARIO - SONDA VESICAL</t>
  </si>
  <si>
    <t>CÓDIGO: SB-GSA-F-074</t>
  </si>
  <si>
    <t>VERSIÓN: 02</t>
  </si>
  <si>
    <t>VIGENCIA: 13 oct 2022</t>
  </si>
  <si>
    <t>Seguimiento de catéter urinario - sonda vesical</t>
  </si>
  <si>
    <t>No Cumple _ No_0</t>
  </si>
  <si>
    <t>Nro de casos</t>
  </si>
  <si>
    <t>Criterio # 1 
FIJACIÒN</t>
  </si>
  <si>
    <t>Criterio # 2
POSICIÓN BOLSA COLECTORA</t>
  </si>
  <si>
    <t>Criterio # 3 
ROTULACIÒN</t>
  </si>
  <si>
    <t>Criterio # 4 
INDICACIÒN</t>
  </si>
  <si>
    <t>Criterio # 5 
FLUJO CONTINUO DE LA ORINA</t>
  </si>
  <si>
    <t xml:space="preserve">Criterio# 6
Lista de chequeo de sonda vesical </t>
  </si>
  <si>
    <t>Tiene irrigación?</t>
  </si>
  <si>
    <t>Observación no cumplimiento</t>
  </si>
  <si>
    <t xml:space="preserve">Dias que NO CUMPLE Lista de chequeo de sonda vesical </t>
  </si>
  <si>
    <t xml:space="preserve">CC </t>
  </si>
  <si>
    <t>Criterio # 1 :Fijación sonda vesical en zona periumbilical en varones y hacia la fosa iliaca en mujeres</t>
  </si>
  <si>
    <t>Criterio # 2 : La bolsa colectora siempre debe encontrarse por debajo del nivel de la vejiga del paciente, aunque el sistema tuviera válvula, para evitar el reflujo de la orina.la bolsa colectora no toque el suelo</t>
  </si>
  <si>
    <t>Criterio # 3 :Rotulacion de la bolsa completo que incluye: fecha de inserción, nombre completo del paciente, número de identificación y número de cama.</t>
  </si>
  <si>
    <t xml:space="preserve">Criterio # 4 : Tiene Indicación para el uso de cateter urinario </t>
  </si>
  <si>
    <t>Criterio # 5 : Hay  flujo constante de la orina</t>
  </si>
  <si>
    <t>Criterio # 6 : Tiene elaborada la lista de chequeo de insercion y mantenimiento de sonda vesical?</t>
  </si>
  <si>
    <t>SEGUIMIENTO PREVENCIÓN DE LA NEUMONÍA INTRAHOSPITALARIA</t>
  </si>
  <si>
    <t>CÓDIGO: SB-GSA-F-075</t>
  </si>
  <si>
    <t>Prevención de la neumonía intrahospitalaria</t>
  </si>
  <si>
    <t>Cumple _si_1
 No Cumple _ No_0 
 No Aplica_0</t>
  </si>
  <si>
    <t>Criterio # 1
Cabecera 30°-45°</t>
  </si>
  <si>
    <t>Criterio # 2
 Higiene Oral</t>
  </si>
  <si>
    <t xml:space="preserve">Criterio # 3
Implementos de higiene oral </t>
  </si>
  <si>
    <t>Criterio # 4
Lista de chequeo Prevencion NAV Pacientes con Ventilación Mecánica</t>
  </si>
  <si>
    <t>NOTA: Seguimientos a pacientes postrados prevencion de neumonia clínica</t>
  </si>
  <si>
    <t>Criterio # 1 :  La cabecera de la cama esta 30°-45° grados.</t>
  </si>
  <si>
    <t>Criterio # 2 : Cuidado bucal adecuado que incluye Higiene oral, lengua limpia, paladar limpio.</t>
  </si>
  <si>
    <t>Criterio # 3 : Tiene sus implementos de aseo - Enjuague bucal.</t>
  </si>
  <si>
    <t xml:space="preserve">pediatria </t>
  </si>
  <si>
    <t xml:space="preserve">SI </t>
  </si>
  <si>
    <t xml:space="preserve">pasillo </t>
  </si>
  <si>
    <t xml:space="preserve">observa 2 </t>
  </si>
  <si>
    <r>
      <rPr>
        <b/>
        <i/>
        <sz val="11"/>
        <color theme="1"/>
        <rFont val="Calibri"/>
      </rPr>
      <t>Criterio # 1 :Rotulación adecuada: incluye  Fecha - hora de inserción , número de catéter utilizado, nombre de</t>
    </r>
    <r>
      <rPr>
        <i/>
        <sz val="11"/>
        <color theme="1"/>
        <rFont val="Calibri"/>
      </rPr>
      <t>l p</t>
    </r>
    <r>
      <rPr>
        <b/>
        <i/>
        <sz val="11"/>
        <color theme="1"/>
        <rFont val="Calibri"/>
      </rPr>
      <t>rofesional quien canaliza</t>
    </r>
  </si>
  <si>
    <r>
      <rPr>
        <b/>
        <i/>
        <sz val="11"/>
        <color theme="1"/>
        <rFont val="Calibri"/>
      </rPr>
      <t>Criterio # 5</t>
    </r>
    <r>
      <rPr>
        <b/>
        <i/>
        <sz val="11"/>
        <color rgb="FF000000"/>
        <rFont val="Calibri"/>
      </rPr>
      <t xml:space="preserve"> : Educación sobre signos y síntomas de flebitis </t>
    </r>
  </si>
  <si>
    <r>
      <rPr>
        <b/>
        <i/>
        <sz val="11"/>
        <color theme="1"/>
        <rFont val="Calibri"/>
      </rPr>
      <t>Criterio # 1 :Rotulación adecuada: incluye  Fecha - hora de inserción , número de catéter utilizado, nombre de</t>
    </r>
    <r>
      <rPr>
        <i/>
        <sz val="11"/>
        <color theme="1"/>
        <rFont val="Calibri"/>
      </rPr>
      <t>l p</t>
    </r>
    <r>
      <rPr>
        <b/>
        <i/>
        <sz val="11"/>
        <color theme="1"/>
        <rFont val="Calibri"/>
      </rPr>
      <t>rofesional quien canaliza</t>
    </r>
  </si>
  <si>
    <t>Criterio # 3 :Mantenimiento aséptico:  apósito- conectores - llaves- extensiones y equipos de administración de medicamentos limpios y vigentes (4 días)</t>
  </si>
  <si>
    <r>
      <rPr>
        <b/>
        <i/>
        <sz val="11"/>
        <color theme="1"/>
        <rFont val="Calibri"/>
      </rPr>
      <t>Criterio # 5</t>
    </r>
    <r>
      <rPr>
        <b/>
        <i/>
        <sz val="11"/>
        <color rgb="FF000000"/>
        <rFont val="Calibri"/>
      </rPr>
      <t xml:space="preserve"> : Educación sobre signos y síntomas de flebitis </t>
    </r>
  </si>
  <si>
    <t xml:space="preserve">Realizado por victor </t>
  </si>
  <si>
    <t>Porcentaje de cumplimiento</t>
  </si>
  <si>
    <r>
      <rPr>
        <b/>
        <i/>
        <sz val="11"/>
        <color theme="1"/>
        <rFont val="Calibri"/>
      </rPr>
      <t>Criterio # 1 :Rotulación adecuada: incluye  Fecha - hora de inserción , número de catéter utilizado, nombre de</t>
    </r>
    <r>
      <rPr>
        <i/>
        <sz val="11"/>
        <color theme="1"/>
        <rFont val="Calibri"/>
      </rPr>
      <t>l p</t>
    </r>
    <r>
      <rPr>
        <b/>
        <i/>
        <sz val="11"/>
        <color theme="1"/>
        <rFont val="Calibri"/>
      </rPr>
      <t>rofesional quien canaliza</t>
    </r>
  </si>
  <si>
    <r>
      <rPr>
        <b/>
        <i/>
        <sz val="11"/>
        <color theme="1"/>
        <rFont val="Calibri"/>
      </rPr>
      <t>Criterio # 5</t>
    </r>
    <r>
      <rPr>
        <b/>
        <i/>
        <sz val="11"/>
        <color rgb="FF000000"/>
        <rFont val="Calibri"/>
      </rPr>
      <t xml:space="preserve"> : Educación sobre signos y síntomas de flebitis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</si>
</sst>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yyyy"/>
    <numFmt numFmtId="166" formatCode="d\ mmmm"/>
  </numFmts>
  <fonts count="31">
    <font>
      <sz val="11"/>
      <color theme="1"/>
      <name val="Calibri"/>
      <scheme val="minor"/>
    </font>
    <font>
      <sz val="11"/>
      <color rgb="FF000000"/>
      <name val="Calibri"/>
    </font>
    <font>
      <b/>
      <sz val="11"/>
      <color rgb="FF000000"/>
      <name val="Arial"/>
    </font>
    <font>
      <sz val="11"/>
      <name val="Calibri"/>
    </font>
    <font>
      <sz val="11"/>
      <color rgb="FF000000"/>
      <name val="Arial"/>
    </font>
    <font>
      <b/>
      <sz val="11"/>
      <color rgb="FFFFFFFF"/>
      <name val="Arial"/>
    </font>
    <font>
      <b/>
      <i/>
      <sz val="9"/>
      <color rgb="FFFFFFFF"/>
      <name val="Arial"/>
    </font>
    <font>
      <sz val="11"/>
      <color theme="1"/>
      <name val="Calibri"/>
    </font>
    <font>
      <sz val="11"/>
      <color rgb="FF000000"/>
      <name val="&quot;Source Sans Pro&quot;"/>
    </font>
    <font>
      <sz val="12"/>
      <color rgb="FF2E2E2E"/>
      <name val="Arial"/>
    </font>
    <font>
      <b/>
      <sz val="11"/>
      <color theme="1"/>
      <name val="Calibri"/>
    </font>
    <font>
      <sz val="11"/>
      <color rgb="FF000000"/>
      <name val="Roboto"/>
    </font>
    <font>
      <b/>
      <sz val="11"/>
      <color rgb="FF000000"/>
      <name val="Inconsolata"/>
    </font>
    <font>
      <b/>
      <i/>
      <sz val="11"/>
      <color theme="1"/>
      <name val="Calibri"/>
    </font>
    <font>
      <sz val="8"/>
      <color rgb="FF000000"/>
      <name val="Arial"/>
    </font>
    <font>
      <i/>
      <sz val="9"/>
      <color theme="1"/>
      <name val="Arial"/>
    </font>
    <font>
      <b/>
      <sz val="12"/>
      <color rgb="FF2E2E2E"/>
      <name val="Arial"/>
    </font>
    <font>
      <sz val="11"/>
      <color theme="1"/>
      <name val="Calibri"/>
    </font>
    <font>
      <sz val="9"/>
      <color rgb="FF000000"/>
      <name val="Arial"/>
    </font>
    <font>
      <sz val="10"/>
      <color theme="1"/>
      <name val="Calibri"/>
    </font>
    <font>
      <b/>
      <sz val="11"/>
      <color rgb="FFFFFFFF"/>
      <name val="Calibri"/>
    </font>
    <font>
      <b/>
      <i/>
      <sz val="9"/>
      <color theme="1"/>
      <name val="Arial"/>
    </font>
    <font>
      <b/>
      <sz val="11"/>
      <color rgb="FF000000"/>
      <name val="Calibri"/>
    </font>
    <font>
      <sz val="9"/>
      <color theme="1"/>
      <name val="Calibri"/>
    </font>
    <font>
      <b/>
      <sz val="9"/>
      <color rgb="FFFFFFFF"/>
      <name val="Arial"/>
    </font>
    <font>
      <b/>
      <sz val="9"/>
      <color rgb="FFFFFFFF"/>
      <name val="Calibri"/>
    </font>
    <font>
      <sz val="10"/>
      <color theme="1"/>
      <name val="Times New Roman"/>
    </font>
    <font>
      <b/>
      <sz val="14"/>
      <color theme="1"/>
      <name val="Verdana"/>
    </font>
    <font>
      <sz val="11"/>
      <color rgb="FF2E2E2E"/>
      <name val="Calibri"/>
    </font>
    <font>
      <i/>
      <sz val="11"/>
      <color theme="1"/>
      <name val="Calibri"/>
    </font>
    <font>
      <b/>
      <i/>
      <sz val="11"/>
      <color rgb="FF000000"/>
      <name val="Calibri"/>
    </font>
  </fonts>
  <fills count="10">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14387F"/>
        <bgColor rgb="FF14387F"/>
      </patternFill>
    </fill>
    <fill>
      <patternFill patternType="solid">
        <fgColor rgb="FFBFBFBF"/>
        <bgColor rgb="FFBFBFBF"/>
      </patternFill>
    </fill>
    <fill>
      <patternFill patternType="solid">
        <fgColor rgb="FFB8CCE4"/>
        <bgColor rgb="FFB8CCE4"/>
      </patternFill>
    </fill>
    <fill>
      <patternFill patternType="solid">
        <fgColor theme="0"/>
        <bgColor theme="0"/>
      </patternFill>
    </fill>
    <fill>
      <patternFill patternType="solid">
        <fgColor rgb="FF244061"/>
        <bgColor rgb="FF244061"/>
      </patternFill>
    </fill>
    <fill>
      <patternFill patternType="solid">
        <fgColor rgb="FF00FFFF"/>
        <bgColor rgb="FF00FFFF"/>
      </patternFill>
    </fill>
  </fills>
  <borders count="3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s>
  <cellStyleXfs count="1">
    <xf numFmtId="0" fontId="0" fillId="0" borderId="0"/>
  </cellStyleXfs>
  <cellXfs count="178">
    <xf numFmtId="0" fontId="0" fillId="0" borderId="0" xfId="0"/>
    <xf numFmtId="0" fontId="2" fillId="0" borderId="11" xfId="0" applyFont="1" applyBorder="1"/>
    <xf numFmtId="0" fontId="5" fillId="4" borderId="14" xfId="0" applyFont="1" applyFill="1" applyBorder="1" applyAlignment="1">
      <alignment horizontal="center"/>
    </xf>
    <xf numFmtId="0" fontId="5" fillId="4" borderId="11" xfId="0" applyFont="1" applyFill="1" applyBorder="1" applyAlignment="1">
      <alignment horizontal="center" vertical="top" wrapText="1"/>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15" xfId="0" applyFont="1" applyFill="1" applyBorder="1" applyAlignment="1">
      <alignment vertical="center"/>
    </xf>
    <xf numFmtId="0" fontId="6" fillId="4" borderId="11" xfId="0" applyFont="1" applyFill="1" applyBorder="1" applyAlignment="1">
      <alignment horizontal="center" vertical="center"/>
    </xf>
    <xf numFmtId="164" fontId="7" fillId="0" borderId="11" xfId="0" applyNumberFormat="1" applyFont="1" applyBorder="1" applyAlignment="1">
      <alignment horizontal="center"/>
    </xf>
    <xf numFmtId="0" fontId="7" fillId="0" borderId="11" xfId="0" applyFont="1" applyBorder="1" applyAlignment="1">
      <alignment horizontal="center"/>
    </xf>
    <xf numFmtId="0" fontId="7" fillId="0" borderId="11" xfId="0" applyFont="1" applyBorder="1"/>
    <xf numFmtId="0" fontId="8" fillId="3" borderId="11" xfId="0" applyFont="1" applyFill="1" applyBorder="1" applyAlignment="1">
      <alignment horizontal="left"/>
    </xf>
    <xf numFmtId="1" fontId="7" fillId="0" borderId="11" xfId="0" applyNumberFormat="1" applyFont="1" applyBorder="1"/>
    <xf numFmtId="1" fontId="7" fillId="0" borderId="10" xfId="0" applyNumberFormat="1" applyFont="1" applyBorder="1"/>
    <xf numFmtId="0" fontId="7" fillId="0" borderId="10" xfId="0" applyFont="1" applyBorder="1" applyAlignment="1">
      <alignment horizontal="center"/>
    </xf>
    <xf numFmtId="0" fontId="7" fillId="0" borderId="10" xfId="0" applyFont="1" applyBorder="1"/>
    <xf numFmtId="1" fontId="7" fillId="0" borderId="11" xfId="0" applyNumberFormat="1" applyFont="1" applyBorder="1" applyAlignment="1">
      <alignment horizontal="center" vertical="center"/>
    </xf>
    <xf numFmtId="0" fontId="9" fillId="3" borderId="17" xfId="0" applyFont="1" applyFill="1" applyBorder="1" applyAlignment="1">
      <alignment horizontal="center"/>
    </xf>
    <xf numFmtId="0" fontId="7" fillId="0" borderId="5" xfId="0" applyFont="1" applyBorder="1" applyAlignment="1">
      <alignment horizontal="center"/>
    </xf>
    <xf numFmtId="0" fontId="7" fillId="0" borderId="5" xfId="0" applyFont="1" applyBorder="1"/>
    <xf numFmtId="0" fontId="7" fillId="0" borderId="11" xfId="0" applyFont="1" applyBorder="1" applyAlignment="1">
      <alignment horizontal="center" vertical="center"/>
    </xf>
    <xf numFmtId="1" fontId="10" fillId="0" borderId="10" xfId="0" applyNumberFormat="1" applyFont="1" applyBorder="1" applyAlignment="1">
      <alignment horizontal="center" vertical="center"/>
    </xf>
    <xf numFmtId="0" fontId="10" fillId="0" borderId="18" xfId="0" applyFont="1" applyBorder="1" applyAlignment="1">
      <alignment horizontal="center" vertical="center"/>
    </xf>
    <xf numFmtId="1" fontId="7" fillId="0" borderId="18" xfId="0" applyNumberFormat="1" applyFont="1" applyBorder="1" applyAlignment="1">
      <alignment horizontal="center"/>
    </xf>
    <xf numFmtId="165" fontId="11" fillId="3" borderId="19" xfId="0" applyNumberFormat="1" applyFont="1" applyFill="1" applyBorder="1" applyAlignment="1">
      <alignment horizontal="center"/>
    </xf>
    <xf numFmtId="0" fontId="10" fillId="0" borderId="11" xfId="0" applyFont="1" applyBorder="1" applyAlignment="1">
      <alignment horizontal="center" vertical="center"/>
    </xf>
    <xf numFmtId="1" fontId="10" fillId="5" borderId="20" xfId="0" applyNumberFormat="1" applyFont="1" applyFill="1" applyBorder="1" applyAlignment="1">
      <alignment horizontal="center" vertical="center"/>
    </xf>
    <xf numFmtId="1" fontId="10" fillId="5" borderId="21" xfId="0" applyNumberFormat="1" applyFont="1" applyFill="1" applyBorder="1" applyAlignment="1">
      <alignment horizontal="center" vertical="center"/>
    </xf>
    <xf numFmtId="1" fontId="10" fillId="5" borderId="22" xfId="0" applyNumberFormat="1" applyFont="1" applyFill="1" applyBorder="1" applyAlignment="1">
      <alignment horizontal="center" vertical="center"/>
    </xf>
    <xf numFmtId="1" fontId="12" fillId="5" borderId="11" xfId="0" applyNumberFormat="1" applyFont="1" applyFill="1" applyBorder="1" applyAlignment="1">
      <alignment horizontal="center" vertical="center"/>
    </xf>
    <xf numFmtId="1" fontId="12" fillId="5" borderId="23" xfId="0" applyNumberFormat="1" applyFont="1" applyFill="1" applyBorder="1" applyAlignment="1">
      <alignment horizontal="center" vertical="center"/>
    </xf>
    <xf numFmtId="1" fontId="10" fillId="5" borderId="26" xfId="0" applyNumberFormat="1" applyFont="1" applyFill="1" applyBorder="1" applyAlignment="1">
      <alignment horizontal="center" vertical="center"/>
    </xf>
    <xf numFmtId="1" fontId="10" fillId="5" borderId="27" xfId="0" applyNumberFormat="1" applyFont="1" applyFill="1" applyBorder="1" applyAlignment="1">
      <alignment horizontal="center" vertical="center"/>
    </xf>
    <xf numFmtId="1" fontId="10" fillId="5" borderId="28" xfId="0" applyNumberFormat="1" applyFont="1" applyFill="1" applyBorder="1" applyAlignment="1">
      <alignment horizontal="center" vertical="center"/>
    </xf>
    <xf numFmtId="9" fontId="7" fillId="5" borderId="29" xfId="0" applyNumberFormat="1" applyFont="1" applyFill="1" applyBorder="1" applyAlignment="1">
      <alignment horizontal="center"/>
    </xf>
    <xf numFmtId="9" fontId="7" fillId="5" borderId="30" xfId="0" applyNumberFormat="1" applyFont="1" applyFill="1" applyBorder="1" applyAlignment="1">
      <alignment horizontal="center"/>
    </xf>
    <xf numFmtId="9" fontId="7" fillId="5" borderId="31" xfId="0" applyNumberFormat="1" applyFont="1" applyFill="1" applyBorder="1" applyAlignment="1">
      <alignment horizontal="center"/>
    </xf>
    <xf numFmtId="0" fontId="7" fillId="0" borderId="0" xfId="0" applyFont="1"/>
    <xf numFmtId="0" fontId="5" fillId="4" borderId="11" xfId="0" applyFont="1" applyFill="1" applyBorder="1" applyAlignment="1">
      <alignment horizontal="center"/>
    </xf>
    <xf numFmtId="0" fontId="5" fillId="4" borderId="11" xfId="0" applyFont="1" applyFill="1" applyBorder="1" applyAlignment="1">
      <alignment wrapText="1"/>
    </xf>
    <xf numFmtId="0" fontId="6" fillId="4" borderId="11" xfId="0" applyFont="1" applyFill="1" applyBorder="1" applyAlignment="1">
      <alignment horizontal="center" vertical="center" wrapText="1"/>
    </xf>
    <xf numFmtId="0" fontId="6" fillId="4" borderId="29" xfId="0" applyFont="1" applyFill="1" applyBorder="1" applyAlignment="1">
      <alignment horizontal="center" vertical="center" wrapText="1"/>
    </xf>
    <xf numFmtId="0" fontId="15" fillId="0" borderId="0" xfId="0" applyFont="1" applyAlignment="1">
      <alignment vertical="center"/>
    </xf>
    <xf numFmtId="0" fontId="7" fillId="0" borderId="0" xfId="0" applyFont="1" applyAlignment="1">
      <alignment wrapText="1"/>
    </xf>
    <xf numFmtId="166" fontId="7" fillId="0" borderId="0" xfId="0" applyNumberFormat="1" applyFont="1"/>
    <xf numFmtId="0" fontId="7" fillId="0" borderId="11" xfId="0" applyFont="1" applyBorder="1" applyAlignment="1">
      <alignment horizontal="right"/>
    </xf>
    <xf numFmtId="166" fontId="7" fillId="0" borderId="11" xfId="0" applyNumberFormat="1" applyFont="1" applyBorder="1"/>
    <xf numFmtId="1" fontId="10" fillId="0" borderId="11" xfId="0" applyNumberFormat="1" applyFont="1" applyBorder="1" applyAlignment="1">
      <alignment horizontal="center" vertical="center"/>
    </xf>
    <xf numFmtId="0" fontId="16" fillId="3" borderId="11" xfId="0" applyFont="1" applyFill="1" applyBorder="1" applyAlignment="1">
      <alignment horizontal="center"/>
    </xf>
    <xf numFmtId="165" fontId="17" fillId="0" borderId="11" xfId="0" applyNumberFormat="1" applyFont="1" applyBorder="1" applyAlignment="1">
      <alignment horizontal="center"/>
    </xf>
    <xf numFmtId="1" fontId="10" fillId="0" borderId="18" xfId="0" applyNumberFormat="1" applyFont="1" applyBorder="1" applyAlignment="1">
      <alignment horizontal="center" vertical="center"/>
    </xf>
    <xf numFmtId="0" fontId="10" fillId="0" borderId="5" xfId="0" applyFont="1" applyBorder="1" applyAlignment="1">
      <alignment horizontal="center" vertical="center"/>
    </xf>
    <xf numFmtId="0" fontId="10" fillId="0" borderId="10" xfId="0" applyFont="1" applyBorder="1" applyAlignment="1">
      <alignment horizontal="center" vertical="center"/>
    </xf>
    <xf numFmtId="0" fontId="7" fillId="7" borderId="11" xfId="0" applyFont="1" applyFill="1" applyBorder="1" applyAlignment="1">
      <alignment horizontal="center"/>
    </xf>
    <xf numFmtId="0" fontId="7" fillId="0" borderId="12" xfId="0" applyFont="1" applyBorder="1" applyAlignment="1">
      <alignment horizontal="center" vertical="center"/>
    </xf>
    <xf numFmtId="0" fontId="7" fillId="0" borderId="18" xfId="0" applyFont="1" applyBorder="1" applyAlignment="1">
      <alignment horizontal="center" vertical="center"/>
    </xf>
    <xf numFmtId="0" fontId="10" fillId="0" borderId="8" xfId="0" applyFont="1" applyBorder="1" applyAlignment="1">
      <alignment horizontal="center" vertical="center"/>
    </xf>
    <xf numFmtId="0" fontId="1" fillId="3" borderId="11" xfId="0" applyFont="1" applyFill="1" applyBorder="1" applyAlignment="1">
      <alignment horizontal="center"/>
    </xf>
    <xf numFmtId="165" fontId="11" fillId="3" borderId="11" xfId="0" applyNumberFormat="1" applyFont="1" applyFill="1" applyBorder="1" applyAlignment="1">
      <alignment horizontal="center"/>
    </xf>
    <xf numFmtId="0" fontId="10" fillId="0" borderId="11" xfId="0" applyFont="1" applyBorder="1" applyAlignment="1">
      <alignment horizontal="center"/>
    </xf>
    <xf numFmtId="0" fontId="10" fillId="5" borderId="11" xfId="0" applyFont="1" applyFill="1" applyBorder="1" applyAlignment="1">
      <alignment horizontal="center"/>
    </xf>
    <xf numFmtId="1" fontId="10" fillId="5" borderId="11" xfId="0" applyNumberFormat="1" applyFont="1" applyFill="1" applyBorder="1" applyAlignment="1">
      <alignment horizontal="center"/>
    </xf>
    <xf numFmtId="0" fontId="2" fillId="3" borderId="11" xfId="0" applyFont="1" applyFill="1" applyBorder="1" applyAlignment="1">
      <alignment horizontal="left"/>
    </xf>
    <xf numFmtId="0" fontId="2" fillId="0" borderId="0" xfId="0" applyFont="1" applyAlignment="1">
      <alignment horizontal="center"/>
    </xf>
    <xf numFmtId="0" fontId="19" fillId="0" borderId="0" xfId="0" applyFont="1"/>
    <xf numFmtId="0" fontId="20" fillId="4" borderId="17" xfId="0" applyFont="1" applyFill="1" applyBorder="1" applyAlignment="1">
      <alignment horizontal="center"/>
    </xf>
    <xf numFmtId="0" fontId="7" fillId="3" borderId="11" xfId="0" applyFont="1" applyFill="1" applyBorder="1"/>
    <xf numFmtId="164" fontId="11" fillId="3" borderId="19" xfId="0" applyNumberFormat="1" applyFont="1" applyFill="1" applyBorder="1" applyAlignment="1">
      <alignment horizontal="center"/>
    </xf>
    <xf numFmtId="0" fontId="7" fillId="0" borderId="18" xfId="0" applyFont="1" applyBorder="1" applyAlignment="1">
      <alignment horizontal="center"/>
    </xf>
    <xf numFmtId="0" fontId="1" fillId="0" borderId="23" xfId="0" applyFont="1" applyBorder="1" applyAlignment="1">
      <alignment horizontal="center"/>
    </xf>
    <xf numFmtId="0" fontId="7" fillId="0" borderId="3" xfId="0" applyFont="1" applyBorder="1" applyAlignment="1">
      <alignment horizontal="center" vertical="center"/>
    </xf>
    <xf numFmtId="164" fontId="1" fillId="0" borderId="23" xfId="0" applyNumberFormat="1" applyFont="1" applyBorder="1" applyAlignment="1">
      <alignment horizontal="center"/>
    </xf>
    <xf numFmtId="0" fontId="7" fillId="0" borderId="23" xfId="0" applyFont="1" applyBorder="1" applyAlignment="1">
      <alignment horizontal="center"/>
    </xf>
    <xf numFmtId="0" fontId="10" fillId="0" borderId="23" xfId="0" applyFont="1" applyBorder="1" applyAlignment="1">
      <alignment horizontal="center"/>
    </xf>
    <xf numFmtId="0" fontId="10" fillId="0" borderId="3" xfId="0" applyFont="1" applyBorder="1" applyAlignment="1">
      <alignment horizontal="center" vertical="center"/>
    </xf>
    <xf numFmtId="0" fontId="7" fillId="7" borderId="29" xfId="0" applyFont="1" applyFill="1" applyBorder="1" applyAlignment="1">
      <alignment horizontal="center"/>
    </xf>
    <xf numFmtId="0" fontId="7" fillId="0" borderId="3" xfId="0" applyFont="1" applyBorder="1"/>
    <xf numFmtId="0" fontId="21" fillId="5" borderId="11" xfId="0" applyFont="1" applyFill="1" applyBorder="1" applyAlignment="1">
      <alignment horizontal="center"/>
    </xf>
    <xf numFmtId="9" fontId="21" fillId="5" borderId="11" xfId="0" applyNumberFormat="1" applyFont="1" applyFill="1" applyBorder="1" applyAlignment="1">
      <alignment horizontal="center"/>
    </xf>
    <xf numFmtId="1" fontId="7" fillId="0" borderId="10" xfId="0" applyNumberFormat="1" applyFont="1" applyBorder="1" applyAlignment="1">
      <alignment wrapText="1"/>
    </xf>
    <xf numFmtId="0" fontId="7" fillId="0" borderId="11" xfId="0" applyFont="1" applyBorder="1" applyAlignment="1">
      <alignment horizontal="center" wrapText="1"/>
    </xf>
    <xf numFmtId="0" fontId="7" fillId="0" borderId="0" xfId="0" applyFont="1" applyAlignment="1">
      <alignment horizontal="center"/>
    </xf>
    <xf numFmtId="0" fontId="7" fillId="0" borderId="10" xfId="0" applyFont="1" applyBorder="1" applyAlignment="1">
      <alignment horizontal="center" vertical="center"/>
    </xf>
    <xf numFmtId="0" fontId="17" fillId="0" borderId="11" xfId="0" applyFont="1" applyBorder="1"/>
    <xf numFmtId="0" fontId="7" fillId="3" borderId="15" xfId="0" applyFont="1" applyFill="1" applyBorder="1" applyAlignment="1">
      <alignment horizontal="center"/>
    </xf>
    <xf numFmtId="0" fontId="1" fillId="0" borderId="11" xfId="0" applyFont="1" applyBorder="1" applyAlignment="1">
      <alignment horizontal="center"/>
    </xf>
    <xf numFmtId="0" fontId="10" fillId="0" borderId="12" xfId="0" applyFont="1" applyBorder="1" applyAlignment="1">
      <alignment horizontal="center" vertical="center"/>
    </xf>
    <xf numFmtId="0" fontId="22" fillId="0" borderId="11" xfId="0" applyFont="1" applyBorder="1" applyAlignment="1">
      <alignment horizontal="center"/>
    </xf>
    <xf numFmtId="0" fontId="7" fillId="0" borderId="18" xfId="0" applyFont="1" applyBorder="1"/>
    <xf numFmtId="0" fontId="7" fillId="0" borderId="23" xfId="0" applyFont="1" applyBorder="1"/>
    <xf numFmtId="0" fontId="23" fillId="0" borderId="0" xfId="0" applyFont="1"/>
    <xf numFmtId="0" fontId="24" fillId="4" borderId="15" xfId="0" applyFont="1" applyFill="1" applyBorder="1" applyAlignment="1">
      <alignment horizontal="center" vertical="center" wrapText="1"/>
    </xf>
    <xf numFmtId="0" fontId="25" fillId="4" borderId="15" xfId="0" applyFont="1" applyFill="1" applyBorder="1" applyAlignment="1">
      <alignment horizontal="center" vertical="center"/>
    </xf>
    <xf numFmtId="0" fontId="25" fillId="4" borderId="11" xfId="0" applyFont="1" applyFill="1" applyBorder="1" applyAlignment="1">
      <alignment horizontal="center" vertical="center"/>
    </xf>
    <xf numFmtId="164" fontId="11" fillId="3" borderId="11" xfId="0" applyNumberFormat="1" applyFont="1" applyFill="1" applyBorder="1" applyAlignment="1">
      <alignment horizontal="center" wrapText="1"/>
    </xf>
    <xf numFmtId="0" fontId="22" fillId="0" borderId="0" xfId="0" applyFont="1" applyAlignment="1">
      <alignment vertical="center" wrapText="1"/>
    </xf>
    <xf numFmtId="0" fontId="7" fillId="0" borderId="0" xfId="0" applyFont="1" applyAlignment="1">
      <alignment vertical="center" wrapText="1"/>
    </xf>
    <xf numFmtId="0" fontId="26" fillId="0" borderId="0" xfId="0" applyFont="1" applyAlignment="1">
      <alignment vertical="center" wrapText="1"/>
    </xf>
    <xf numFmtId="0" fontId="26" fillId="0" borderId="0" xfId="0" applyFont="1"/>
    <xf numFmtId="0" fontId="7" fillId="0" borderId="11" xfId="0" applyFont="1" applyBorder="1" applyAlignment="1">
      <alignment horizontal="left"/>
    </xf>
    <xf numFmtId="0" fontId="7" fillId="0" borderId="18" xfId="0" applyFont="1" applyBorder="1" applyAlignment="1">
      <alignment horizontal="left"/>
    </xf>
    <xf numFmtId="164" fontId="11" fillId="3" borderId="11" xfId="0" applyNumberFormat="1" applyFont="1" applyFill="1" applyBorder="1" applyAlignment="1">
      <alignment horizontal="center"/>
    </xf>
    <xf numFmtId="164" fontId="10" fillId="0" borderId="11" xfId="0" applyNumberFormat="1" applyFont="1" applyBorder="1" applyAlignment="1">
      <alignment horizontal="center"/>
    </xf>
    <xf numFmtId="0" fontId="10" fillId="0" borderId="10" xfId="0" applyFont="1" applyBorder="1" applyAlignment="1">
      <alignment horizontal="center"/>
    </xf>
    <xf numFmtId="0" fontId="10" fillId="0" borderId="18" xfId="0" applyFont="1" applyBorder="1" applyAlignment="1">
      <alignment horizontal="center"/>
    </xf>
    <xf numFmtId="1" fontId="12" fillId="5" borderId="36" xfId="0" applyNumberFormat="1" applyFont="1" applyFill="1" applyBorder="1" applyAlignment="1">
      <alignment horizontal="center" vertical="center"/>
    </xf>
    <xf numFmtId="0" fontId="6" fillId="8" borderId="11" xfId="0" applyFont="1" applyFill="1" applyBorder="1" applyAlignment="1">
      <alignment horizontal="center" vertical="center" wrapText="1"/>
    </xf>
    <xf numFmtId="0" fontId="22" fillId="0" borderId="11" xfId="0" applyFont="1" applyBorder="1" applyAlignment="1">
      <alignment vertical="center" wrapText="1"/>
    </xf>
    <xf numFmtId="0" fontId="7" fillId="7" borderId="11" xfId="0" applyFont="1" applyFill="1" applyBorder="1" applyAlignment="1">
      <alignment horizontal="left"/>
    </xf>
    <xf numFmtId="0" fontId="7" fillId="3" borderId="11" xfId="0" applyFont="1" applyFill="1" applyBorder="1" applyAlignment="1">
      <alignment horizontal="center"/>
    </xf>
    <xf numFmtId="0" fontId="10" fillId="0" borderId="5" xfId="0" applyFont="1" applyBorder="1" applyAlignment="1">
      <alignment horizontal="center"/>
    </xf>
    <xf numFmtId="0" fontId="7" fillId="9" borderId="17" xfId="0" applyFont="1" applyFill="1" applyBorder="1"/>
    <xf numFmtId="0" fontId="27" fillId="7" borderId="17" xfId="0" applyFont="1" applyFill="1" applyBorder="1" applyAlignment="1">
      <alignment horizontal="center"/>
    </xf>
    <xf numFmtId="0" fontId="6" fillId="8" borderId="29" xfId="0" applyFont="1" applyFill="1" applyBorder="1" applyAlignment="1">
      <alignment horizontal="center" wrapText="1"/>
    </xf>
    <xf numFmtId="0" fontId="28" fillId="0" borderId="11" xfId="0" applyFont="1" applyBorder="1" applyAlignment="1">
      <alignment horizontal="right"/>
    </xf>
    <xf numFmtId="0" fontId="7" fillId="0" borderId="10" xfId="0" applyFont="1" applyBorder="1" applyAlignment="1">
      <alignment horizontal="center" wrapText="1"/>
    </xf>
    <xf numFmtId="165" fontId="11" fillId="3" borderId="11" xfId="0" applyNumberFormat="1" applyFont="1" applyFill="1" applyBorder="1"/>
    <xf numFmtId="0" fontId="10" fillId="0" borderId="23" xfId="0" applyFont="1" applyBorder="1" applyAlignment="1">
      <alignment horizontal="center" vertical="center"/>
    </xf>
    <xf numFmtId="0" fontId="22" fillId="3" borderId="11" xfId="0" applyFont="1" applyFill="1" applyBorder="1" applyAlignment="1">
      <alignment horizontal="center"/>
    </xf>
    <xf numFmtId="165" fontId="11" fillId="3" borderId="29" xfId="0" applyNumberFormat="1" applyFont="1" applyFill="1" applyBorder="1"/>
    <xf numFmtId="164" fontId="1" fillId="0" borderId="11" xfId="0" applyNumberFormat="1" applyFont="1" applyBorder="1" applyAlignment="1">
      <alignment horizontal="center"/>
    </xf>
    <xf numFmtId="0" fontId="7" fillId="0" borderId="11" xfId="0" applyFont="1" applyBorder="1" applyAlignment="1">
      <alignment wrapText="1"/>
    </xf>
    <xf numFmtId="0" fontId="1" fillId="0" borderId="11" xfId="0" applyFont="1" applyBorder="1" applyAlignment="1">
      <alignment vertical="center" wrapText="1"/>
    </xf>
    <xf numFmtId="0" fontId="19" fillId="0" borderId="0" xfId="0" applyFont="1" applyAlignment="1">
      <alignment vertical="center" wrapText="1"/>
    </xf>
    <xf numFmtId="164" fontId="1" fillId="3" borderId="11" xfId="0" applyNumberFormat="1" applyFont="1" applyFill="1" applyBorder="1" applyAlignment="1">
      <alignment horizontal="center"/>
    </xf>
    <xf numFmtId="0" fontId="22" fillId="0" borderId="11" xfId="0" applyFont="1" applyBorder="1" applyAlignment="1">
      <alignment horizontal="center" vertical="center" wrapText="1"/>
    </xf>
    <xf numFmtId="0" fontId="7" fillId="7" borderId="11" xfId="0" applyFont="1" applyFill="1" applyBorder="1" applyAlignment="1">
      <alignment horizontal="left" wrapText="1"/>
    </xf>
    <xf numFmtId="0" fontId="1" fillId="0" borderId="0" xfId="0" applyFont="1" applyAlignment="1">
      <alignment horizontal="left" vertical="top"/>
    </xf>
    <xf numFmtId="0" fontId="0" fillId="0" borderId="0" xfId="0"/>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2" fillId="3" borderId="4" xfId="0" applyFont="1" applyFill="1" applyBorder="1" applyAlignment="1">
      <alignment horizontal="left"/>
    </xf>
    <xf numFmtId="0" fontId="3" fillId="0" borderId="5" xfId="0" applyFont="1" applyBorder="1"/>
    <xf numFmtId="0" fontId="4" fillId="0" borderId="12" xfId="0" applyFont="1" applyBorder="1" applyAlignment="1">
      <alignment horizontal="center"/>
    </xf>
    <xf numFmtId="0" fontId="3" fillId="0" borderId="13" xfId="0" applyFont="1" applyBorder="1"/>
    <xf numFmtId="0" fontId="5" fillId="4" borderId="12" xfId="0" applyFont="1" applyFill="1" applyBorder="1" applyAlignment="1">
      <alignment horizontal="center"/>
    </xf>
    <xf numFmtId="0" fontId="13" fillId="0" borderId="12" xfId="0" applyFont="1" applyBorder="1" applyAlignment="1">
      <alignment horizontal="left" vertical="center"/>
    </xf>
    <xf numFmtId="0" fontId="10" fillId="5" borderId="24" xfId="0" applyFont="1" applyFill="1" applyBorder="1" applyAlignment="1">
      <alignment horizontal="center"/>
    </xf>
    <xf numFmtId="0" fontId="3" fillId="0" borderId="25" xfId="0" applyFont="1" applyBorder="1"/>
    <xf numFmtId="0" fontId="10" fillId="6" borderId="12" xfId="0" applyFont="1" applyFill="1" applyBorder="1" applyAlignment="1">
      <alignment horizontal="center"/>
    </xf>
    <xf numFmtId="9" fontId="13" fillId="6" borderId="12" xfId="0" applyNumberFormat="1" applyFont="1" applyFill="1" applyBorder="1" applyAlignment="1">
      <alignment horizontal="center"/>
    </xf>
    <xf numFmtId="0" fontId="13" fillId="0" borderId="12" xfId="0" applyFont="1" applyBorder="1" applyAlignment="1">
      <alignment horizontal="left" vertical="center" wrapText="1"/>
    </xf>
    <xf numFmtId="0" fontId="14" fillId="0" borderId="12" xfId="0" applyFont="1" applyBorder="1" applyAlignment="1">
      <alignment horizontal="center"/>
    </xf>
    <xf numFmtId="0" fontId="13" fillId="0" borderId="12" xfId="0" applyFont="1" applyBorder="1" applyAlignment="1">
      <alignment horizontal="left" wrapText="1"/>
    </xf>
    <xf numFmtId="0" fontId="10" fillId="5" borderId="1" xfId="0" applyFont="1" applyFill="1" applyBorder="1" applyAlignment="1">
      <alignment horizontal="center" vertical="center"/>
    </xf>
    <xf numFmtId="0" fontId="10" fillId="7" borderId="1" xfId="0" applyFont="1" applyFill="1" applyBorder="1" applyAlignment="1">
      <alignment horizontal="center"/>
    </xf>
    <xf numFmtId="0" fontId="10" fillId="5" borderId="12" xfId="0" applyFont="1" applyFill="1" applyBorder="1" applyAlignment="1">
      <alignment horizontal="center" vertical="center" wrapText="1"/>
    </xf>
    <xf numFmtId="1" fontId="10" fillId="5" borderId="12" xfId="0" applyNumberFormat="1" applyFont="1" applyFill="1" applyBorder="1" applyAlignment="1">
      <alignment horizontal="center" vertical="center"/>
    </xf>
    <xf numFmtId="0" fontId="21" fillId="5" borderId="12" xfId="0" applyFont="1" applyFill="1" applyBorder="1" applyAlignment="1">
      <alignment horizontal="center" vertical="center"/>
    </xf>
    <xf numFmtId="9" fontId="21" fillId="5" borderId="12" xfId="0" applyNumberFormat="1" applyFont="1" applyFill="1" applyBorder="1" applyAlignment="1">
      <alignment horizontal="center"/>
    </xf>
    <xf numFmtId="0" fontId="21" fillId="0" borderId="8" xfId="0" applyFont="1" applyBorder="1" applyAlignment="1">
      <alignment horizontal="left"/>
    </xf>
    <xf numFmtId="0" fontId="21" fillId="0" borderId="12" xfId="0" applyFont="1" applyBorder="1" applyAlignment="1">
      <alignment horizontal="left" wrapText="1"/>
    </xf>
    <xf numFmtId="0" fontId="21" fillId="0" borderId="12" xfId="0" applyFont="1" applyBorder="1" applyAlignment="1">
      <alignment horizontal="left" vertical="top" wrapText="1"/>
    </xf>
    <xf numFmtId="0" fontId="21" fillId="0" borderId="12" xfId="0" applyFont="1" applyBorder="1" applyAlignment="1">
      <alignment horizontal="left"/>
    </xf>
    <xf numFmtId="0" fontId="18" fillId="0" borderId="0" xfId="0" applyFont="1" applyAlignment="1">
      <alignment horizontal="center"/>
    </xf>
    <xf numFmtId="0" fontId="21" fillId="5" borderId="1" xfId="0" applyFont="1" applyFill="1" applyBorder="1" applyAlignment="1">
      <alignment horizontal="center" vertical="center"/>
    </xf>
    <xf numFmtId="0" fontId="15" fillId="0" borderId="3" xfId="0" applyFont="1" applyBorder="1" applyAlignment="1">
      <alignment horizontal="center"/>
    </xf>
    <xf numFmtId="0" fontId="10" fillId="5" borderId="32" xfId="0" applyFont="1" applyFill="1" applyBorder="1" applyAlignment="1">
      <alignment horizontal="center"/>
    </xf>
    <xf numFmtId="0" fontId="3" fillId="0" borderId="33" xfId="0" applyFont="1" applyBorder="1"/>
    <xf numFmtId="9" fontId="7" fillId="5" borderId="34" xfId="0" applyNumberFormat="1" applyFont="1" applyFill="1" applyBorder="1" applyAlignment="1">
      <alignment horizontal="center"/>
    </xf>
    <xf numFmtId="0" fontId="3" fillId="0" borderId="30" xfId="0" applyFont="1" applyBorder="1"/>
    <xf numFmtId="0" fontId="3" fillId="0" borderId="31" xfId="0" applyFont="1" applyBorder="1"/>
    <xf numFmtId="0" fontId="13" fillId="5" borderId="12" xfId="0" applyFont="1" applyFill="1" applyBorder="1" applyAlignment="1">
      <alignment horizontal="center"/>
    </xf>
    <xf numFmtId="1" fontId="7" fillId="5" borderId="12" xfId="0" applyNumberFormat="1" applyFont="1" applyFill="1" applyBorder="1" applyAlignment="1">
      <alignment horizontal="center"/>
    </xf>
    <xf numFmtId="0" fontId="18" fillId="0" borderId="12" xfId="0" applyFont="1" applyBorder="1" applyAlignment="1">
      <alignment horizontal="center"/>
    </xf>
    <xf numFmtId="1" fontId="10" fillId="5" borderId="1" xfId="0" applyNumberFormat="1" applyFont="1" applyFill="1" applyBorder="1" applyAlignment="1">
      <alignment horizontal="center" vertical="center"/>
    </xf>
    <xf numFmtId="0" fontId="7" fillId="0" borderId="23" xfId="0" applyFont="1" applyBorder="1" applyAlignment="1">
      <alignment horizontal="center"/>
    </xf>
    <xf numFmtId="0" fontId="3" fillId="0" borderId="35" xfId="0" applyFont="1" applyBorder="1"/>
    <xf numFmtId="0" fontId="3" fillId="0" borderId="18" xfId="0" applyFont="1" applyBorder="1"/>
    <xf numFmtId="0" fontId="10" fillId="5" borderId="1" xfId="0" applyFont="1" applyFill="1" applyBorder="1" applyAlignment="1">
      <alignment horizontal="center"/>
    </xf>
    <xf numFmtId="1" fontId="10" fillId="5" borderId="12" xfId="0" applyNumberFormat="1" applyFont="1" applyFill="1" applyBorder="1" applyAlignment="1">
      <alignment horizontal="center"/>
    </xf>
    <xf numFmtId="0" fontId="7"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114300</xdr:rowOff>
    </xdr:from>
    <xdr:ext cx="1962150" cy="5238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171450</xdr:rowOff>
    </xdr:from>
    <xdr:ext cx="1247775" cy="438150"/>
    <xdr:pic>
      <xdr:nvPicPr>
        <xdr:cNvPr id="2" name="image2.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76400" cy="581025"/>
    <xdr:pic>
      <xdr:nvPicPr>
        <xdr:cNvPr id="2" name="image2.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114300</xdr:rowOff>
    </xdr:from>
    <xdr:ext cx="1962150" cy="523875"/>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171450</xdr:rowOff>
    </xdr:from>
    <xdr:ext cx="1247775" cy="438150"/>
    <xdr:pic>
      <xdr:nvPicPr>
        <xdr:cNvPr id="2" name="image2.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152400</xdr:colOff>
      <xdr:row>0</xdr:row>
      <xdr:rowOff>171450</xdr:rowOff>
    </xdr:from>
    <xdr:ext cx="1485900" cy="523875"/>
    <xdr:pic>
      <xdr:nvPicPr>
        <xdr:cNvPr id="2" name="image2.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152400</xdr:colOff>
      <xdr:row>0</xdr:row>
      <xdr:rowOff>171450</xdr:rowOff>
    </xdr:from>
    <xdr:ext cx="1485900" cy="523875"/>
    <xdr:pic>
      <xdr:nvPicPr>
        <xdr:cNvPr id="2" name="image2.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38100</xdr:colOff>
      <xdr:row>0</xdr:row>
      <xdr:rowOff>161925</xdr:rowOff>
    </xdr:from>
    <xdr:ext cx="1485900" cy="523875"/>
    <xdr:pic>
      <xdr:nvPicPr>
        <xdr:cNvPr id="2" name="image2.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152400</xdr:colOff>
      <xdr:row>0</xdr:row>
      <xdr:rowOff>171450</xdr:rowOff>
    </xdr:from>
    <xdr:ext cx="1485900" cy="523875"/>
    <xdr:pic>
      <xdr:nvPicPr>
        <xdr:cNvPr id="2" name="image2.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200025</xdr:colOff>
      <xdr:row>0</xdr:row>
      <xdr:rowOff>28575</xdr:rowOff>
    </xdr:from>
    <xdr:ext cx="1914525" cy="676275"/>
    <xdr:pic>
      <xdr:nvPicPr>
        <xdr:cNvPr id="2" name="image2.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180975</xdr:rowOff>
    </xdr:from>
    <xdr:ext cx="1438275" cy="514350"/>
    <xdr:pic>
      <xdr:nvPicPr>
        <xdr:cNvPr id="2" name="image2.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180975</xdr:rowOff>
    </xdr:from>
    <xdr:ext cx="1438275" cy="514350"/>
    <xdr:pic>
      <xdr:nvPicPr>
        <xdr:cNvPr id="2" name="image2.png" title="Imagen">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CCCC"/>
  </sheetPr>
  <dimension ref="A1:L1000"/>
  <sheetViews>
    <sheetView tabSelected="1" topLeftCell="A4" workbookViewId="0">
      <selection activeCell="B8" sqref="B8"/>
    </sheetView>
  </sheetViews>
  <sheetFormatPr baseColWidth="10" defaultColWidth="14.42578125" defaultRowHeight="15" customHeight="1"/>
  <cols>
    <col min="1" max="1" width="24.5703125" customWidth="1"/>
    <col min="2" max="2" width="13.85546875" customWidth="1"/>
    <col min="3" max="3" width="8.42578125" customWidth="1"/>
    <col min="4" max="4" width="16.28515625" customWidth="1"/>
    <col min="5" max="5" width="16.85546875" customWidth="1"/>
    <col min="6" max="7" width="17.5703125" customWidth="1"/>
    <col min="8" max="8" width="17.7109375" customWidth="1"/>
    <col min="9" max="9" width="33.140625" customWidth="1"/>
    <col min="10" max="10" width="22.85546875" customWidth="1"/>
  </cols>
  <sheetData>
    <row r="1" spans="1:11" ht="21" customHeight="1">
      <c r="A1" s="127"/>
      <c r="B1" s="128"/>
      <c r="C1" s="129" t="s">
        <v>0</v>
      </c>
      <c r="D1" s="130"/>
      <c r="E1" s="130"/>
      <c r="F1" s="130"/>
      <c r="G1" s="130"/>
      <c r="H1" s="130"/>
      <c r="I1" s="131"/>
      <c r="J1" s="137" t="s">
        <v>1</v>
      </c>
      <c r="K1" s="138"/>
    </row>
    <row r="2" spans="1:11" ht="21" customHeight="1">
      <c r="A2" s="128"/>
      <c r="B2" s="128"/>
      <c r="C2" s="132"/>
      <c r="D2" s="128"/>
      <c r="E2" s="128"/>
      <c r="F2" s="128"/>
      <c r="G2" s="128"/>
      <c r="H2" s="128"/>
      <c r="I2" s="133"/>
      <c r="J2" s="137" t="s">
        <v>2</v>
      </c>
      <c r="K2" s="138"/>
    </row>
    <row r="3" spans="1:11" ht="21" customHeight="1">
      <c r="A3" s="128"/>
      <c r="B3" s="128"/>
      <c r="C3" s="134"/>
      <c r="D3" s="135"/>
      <c r="E3" s="135"/>
      <c r="F3" s="135"/>
      <c r="G3" s="135"/>
      <c r="H3" s="135"/>
      <c r="I3" s="136"/>
      <c r="J3" s="137" t="s">
        <v>3</v>
      </c>
      <c r="K3" s="138"/>
    </row>
    <row r="4" spans="1:11" ht="30.75" customHeight="1">
      <c r="A4" s="1" t="s">
        <v>4</v>
      </c>
      <c r="B4" s="139" t="s">
        <v>5</v>
      </c>
      <c r="C4" s="140"/>
      <c r="D4" s="140"/>
      <c r="E4" s="140"/>
      <c r="F4" s="140"/>
      <c r="G4" s="140"/>
      <c r="H4" s="140"/>
      <c r="I4" s="140"/>
      <c r="J4" s="140"/>
      <c r="K4" s="138"/>
    </row>
    <row r="5" spans="1:11" ht="30.75" customHeight="1">
      <c r="A5" s="141" t="s">
        <v>6</v>
      </c>
      <c r="B5" s="140"/>
      <c r="C5" s="140"/>
      <c r="D5" s="140"/>
      <c r="E5" s="140"/>
      <c r="F5" s="140"/>
      <c r="G5" s="140"/>
      <c r="H5" s="140"/>
      <c r="I5" s="140"/>
      <c r="J5" s="140"/>
      <c r="K5" s="138"/>
    </row>
    <row r="6" spans="1:11" ht="30.75" customHeight="1">
      <c r="A6" s="141" t="s">
        <v>7</v>
      </c>
      <c r="B6" s="140"/>
      <c r="C6" s="140"/>
      <c r="D6" s="140"/>
      <c r="E6" s="140"/>
      <c r="F6" s="140"/>
      <c r="G6" s="140"/>
      <c r="H6" s="138"/>
      <c r="I6" s="2" t="s">
        <v>8</v>
      </c>
      <c r="J6" s="2" t="s">
        <v>9</v>
      </c>
      <c r="K6" s="3" t="s">
        <v>10</v>
      </c>
    </row>
    <row r="7" spans="1:11" ht="37.5" customHeight="1">
      <c r="A7" s="4" t="s">
        <v>11</v>
      </c>
      <c r="B7" s="5" t="s">
        <v>12</v>
      </c>
      <c r="C7" s="4" t="s">
        <v>13</v>
      </c>
      <c r="D7" s="4" t="s">
        <v>14</v>
      </c>
      <c r="E7" s="4" t="s">
        <v>15</v>
      </c>
      <c r="F7" s="4" t="s">
        <v>16</v>
      </c>
      <c r="G7" s="4" t="s">
        <v>17</v>
      </c>
      <c r="H7" s="4" t="s">
        <v>18</v>
      </c>
      <c r="I7" s="5" t="s">
        <v>19</v>
      </c>
      <c r="J7" s="6" t="s">
        <v>20</v>
      </c>
      <c r="K7" s="7" t="s">
        <v>21</v>
      </c>
    </row>
    <row r="8" spans="1:11" ht="16.5" customHeight="1">
      <c r="A8" s="8">
        <v>46153</v>
      </c>
      <c r="B8" s="9" t="s">
        <v>22</v>
      </c>
      <c r="C8" s="9">
        <v>1</v>
      </c>
      <c r="D8" s="9" t="s">
        <v>23</v>
      </c>
      <c r="E8" s="9" t="s">
        <v>23</v>
      </c>
      <c r="F8" s="9" t="s">
        <v>23</v>
      </c>
      <c r="G8" s="9" t="s">
        <v>23</v>
      </c>
      <c r="H8" s="9" t="s">
        <v>23</v>
      </c>
      <c r="I8" s="10"/>
      <c r="J8" s="9"/>
      <c r="K8" s="11"/>
    </row>
    <row r="9" spans="1:11">
      <c r="A9" s="8">
        <v>46153</v>
      </c>
      <c r="B9" s="9" t="s">
        <v>22</v>
      </c>
      <c r="C9" s="9">
        <v>1</v>
      </c>
      <c r="D9" s="9" t="s">
        <v>23</v>
      </c>
      <c r="E9" s="9" t="s">
        <v>23</v>
      </c>
      <c r="F9" s="9" t="s">
        <v>23</v>
      </c>
      <c r="G9" s="9" t="s">
        <v>23</v>
      </c>
      <c r="H9" s="9" t="s">
        <v>23</v>
      </c>
      <c r="I9" s="10"/>
      <c r="J9" s="9"/>
      <c r="K9" s="11"/>
    </row>
    <row r="10" spans="1:11">
      <c r="A10" s="8">
        <v>46153</v>
      </c>
      <c r="B10" s="9" t="s">
        <v>22</v>
      </c>
      <c r="C10" s="9">
        <v>1</v>
      </c>
      <c r="D10" s="9" t="s">
        <v>23</v>
      </c>
      <c r="E10" s="9" t="s">
        <v>23</v>
      </c>
      <c r="F10" s="9" t="s">
        <v>23</v>
      </c>
      <c r="G10" s="9" t="s">
        <v>23</v>
      </c>
      <c r="H10" s="9" t="s">
        <v>23</v>
      </c>
      <c r="I10" s="10"/>
      <c r="J10" s="9"/>
      <c r="K10" s="9"/>
    </row>
    <row r="11" spans="1:11">
      <c r="A11" s="8">
        <v>46153</v>
      </c>
      <c r="B11" s="9" t="s">
        <v>22</v>
      </c>
      <c r="C11" s="9">
        <v>1</v>
      </c>
      <c r="D11" s="9" t="s">
        <v>23</v>
      </c>
      <c r="E11" s="9" t="s">
        <v>23</v>
      </c>
      <c r="F11" s="9" t="s">
        <v>23</v>
      </c>
      <c r="G11" s="9" t="s">
        <v>23</v>
      </c>
      <c r="H11" s="9" t="s">
        <v>23</v>
      </c>
      <c r="I11" s="12"/>
      <c r="J11" s="9"/>
      <c r="K11" s="9"/>
    </row>
    <row r="12" spans="1:11">
      <c r="A12" s="8">
        <v>46153</v>
      </c>
      <c r="B12" s="9" t="s">
        <v>22</v>
      </c>
      <c r="C12" s="9">
        <v>1</v>
      </c>
      <c r="D12" s="9" t="s">
        <v>23</v>
      </c>
      <c r="E12" s="9" t="s">
        <v>23</v>
      </c>
      <c r="F12" s="9" t="s">
        <v>23</v>
      </c>
      <c r="G12" s="9" t="s">
        <v>23</v>
      </c>
      <c r="H12" s="9" t="s">
        <v>23</v>
      </c>
      <c r="I12" s="10"/>
      <c r="J12" s="10"/>
      <c r="K12" s="10"/>
    </row>
    <row r="13" spans="1:11">
      <c r="A13" s="8">
        <v>46153</v>
      </c>
      <c r="B13" s="9" t="s">
        <v>22</v>
      </c>
      <c r="C13" s="9">
        <v>1</v>
      </c>
      <c r="D13" s="9" t="s">
        <v>23</v>
      </c>
      <c r="E13" s="9" t="s">
        <v>23</v>
      </c>
      <c r="F13" s="9" t="s">
        <v>23</v>
      </c>
      <c r="G13" s="9" t="s">
        <v>23</v>
      </c>
      <c r="H13" s="9" t="s">
        <v>23</v>
      </c>
      <c r="I13" s="12"/>
      <c r="J13" s="9"/>
      <c r="K13" s="10"/>
    </row>
    <row r="14" spans="1:11">
      <c r="A14" s="8">
        <v>46153</v>
      </c>
      <c r="B14" s="9" t="s">
        <v>24</v>
      </c>
      <c r="C14" s="9">
        <v>1</v>
      </c>
      <c r="D14" s="9" t="s">
        <v>23</v>
      </c>
      <c r="E14" s="9" t="s">
        <v>23</v>
      </c>
      <c r="F14" s="9" t="s">
        <v>23</v>
      </c>
      <c r="G14" s="9" t="s">
        <v>23</v>
      </c>
      <c r="H14" s="9" t="s">
        <v>23</v>
      </c>
      <c r="I14" s="13"/>
      <c r="J14" s="14"/>
      <c r="K14" s="9"/>
    </row>
    <row r="15" spans="1:11">
      <c r="A15" s="8">
        <v>46153</v>
      </c>
      <c r="B15" s="9" t="s">
        <v>24</v>
      </c>
      <c r="C15" s="9">
        <v>1</v>
      </c>
      <c r="D15" s="9" t="s">
        <v>23</v>
      </c>
      <c r="E15" s="9" t="s">
        <v>23</v>
      </c>
      <c r="F15" s="9" t="s">
        <v>23</v>
      </c>
      <c r="G15" s="9" t="s">
        <v>23</v>
      </c>
      <c r="H15" s="9" t="s">
        <v>23</v>
      </c>
      <c r="I15" s="13"/>
      <c r="J15" s="14"/>
      <c r="K15" s="9"/>
    </row>
    <row r="16" spans="1:11">
      <c r="A16" s="8">
        <v>46153</v>
      </c>
      <c r="B16" s="9" t="s">
        <v>24</v>
      </c>
      <c r="C16" s="9">
        <v>1</v>
      </c>
      <c r="D16" s="9" t="s">
        <v>23</v>
      </c>
      <c r="E16" s="9" t="s">
        <v>23</v>
      </c>
      <c r="F16" s="9" t="s">
        <v>23</v>
      </c>
      <c r="G16" s="9" t="s">
        <v>23</v>
      </c>
      <c r="H16" s="9" t="s">
        <v>23</v>
      </c>
      <c r="I16" s="13"/>
      <c r="J16" s="14"/>
      <c r="K16" s="10"/>
    </row>
    <row r="17" spans="1:12">
      <c r="A17" s="8">
        <v>46153</v>
      </c>
      <c r="B17" s="9" t="s">
        <v>24</v>
      </c>
      <c r="C17" s="9">
        <v>1</v>
      </c>
      <c r="D17" s="9" t="s">
        <v>23</v>
      </c>
      <c r="E17" s="9" t="s">
        <v>23</v>
      </c>
      <c r="F17" s="9" t="s">
        <v>23</v>
      </c>
      <c r="G17" s="9" t="s">
        <v>23</v>
      </c>
      <c r="H17" s="9" t="s">
        <v>23</v>
      </c>
      <c r="I17" s="13"/>
      <c r="J17" s="14"/>
      <c r="K17" s="9"/>
    </row>
    <row r="18" spans="1:12">
      <c r="A18" s="8"/>
      <c r="B18" s="9"/>
      <c r="C18" s="9"/>
      <c r="D18" s="9"/>
      <c r="E18" s="9"/>
      <c r="F18" s="9"/>
      <c r="G18" s="9"/>
      <c r="H18" s="9"/>
      <c r="I18" s="13"/>
      <c r="J18" s="14"/>
      <c r="K18" s="9"/>
    </row>
    <row r="19" spans="1:12">
      <c r="A19" s="8"/>
      <c r="B19" s="9"/>
      <c r="C19" s="9"/>
      <c r="D19" s="9"/>
      <c r="E19" s="9"/>
      <c r="F19" s="9"/>
      <c r="G19" s="9"/>
      <c r="H19" s="9"/>
      <c r="I19" s="13"/>
      <c r="J19" s="14"/>
      <c r="K19" s="9"/>
    </row>
    <row r="20" spans="1:12" ht="15.75" customHeight="1">
      <c r="A20" s="8"/>
      <c r="B20" s="9"/>
      <c r="C20" s="9"/>
      <c r="D20" s="9"/>
      <c r="E20" s="9"/>
      <c r="F20" s="9"/>
      <c r="G20" s="9"/>
      <c r="H20" s="9"/>
      <c r="I20" s="13"/>
      <c r="J20" s="14"/>
      <c r="K20" s="9"/>
    </row>
    <row r="21" spans="1:12" ht="15.75" customHeight="1">
      <c r="A21" s="8"/>
      <c r="B21" s="9"/>
      <c r="C21" s="9"/>
      <c r="D21" s="9"/>
      <c r="E21" s="9"/>
      <c r="F21" s="9"/>
      <c r="G21" s="9"/>
      <c r="H21" s="9"/>
      <c r="I21" s="13"/>
      <c r="J21" s="14"/>
      <c r="K21" s="10"/>
    </row>
    <row r="22" spans="1:12" ht="15.75" customHeight="1">
      <c r="A22" s="8"/>
      <c r="B22" s="9"/>
      <c r="C22" s="9"/>
      <c r="D22" s="9"/>
      <c r="E22" s="9"/>
      <c r="F22" s="9"/>
      <c r="G22" s="9"/>
      <c r="H22" s="9"/>
      <c r="I22" s="13"/>
      <c r="J22" s="14"/>
      <c r="K22" s="10"/>
    </row>
    <row r="23" spans="1:12" ht="15.75" customHeight="1">
      <c r="A23" s="8"/>
      <c r="B23" s="9"/>
      <c r="C23" s="9"/>
      <c r="D23" s="9"/>
      <c r="E23" s="9"/>
      <c r="F23" s="9"/>
      <c r="G23" s="9"/>
      <c r="H23" s="9"/>
      <c r="I23" s="10"/>
      <c r="J23" s="9"/>
      <c r="K23" s="10"/>
    </row>
    <row r="24" spans="1:12" ht="15.75" customHeight="1">
      <c r="A24" s="8"/>
      <c r="B24" s="9"/>
      <c r="C24" s="9"/>
      <c r="D24" s="9"/>
      <c r="E24" s="9"/>
      <c r="F24" s="9"/>
      <c r="G24" s="9"/>
      <c r="H24" s="9"/>
      <c r="I24" s="10"/>
      <c r="J24" s="9"/>
      <c r="K24" s="10"/>
    </row>
    <row r="25" spans="1:12" ht="15.75" customHeight="1">
      <c r="A25" s="8"/>
      <c r="B25" s="9"/>
      <c r="C25" s="9"/>
      <c r="D25" s="9"/>
      <c r="E25" s="9"/>
      <c r="F25" s="9"/>
      <c r="G25" s="9"/>
      <c r="H25" s="9"/>
      <c r="I25" s="10"/>
      <c r="J25" s="9"/>
      <c r="K25" s="10"/>
    </row>
    <row r="26" spans="1:12" ht="15.75" customHeight="1">
      <c r="A26" s="8"/>
      <c r="B26" s="14"/>
      <c r="C26" s="9"/>
      <c r="D26" s="9"/>
      <c r="E26" s="9"/>
      <c r="F26" s="9"/>
      <c r="G26" s="9"/>
      <c r="H26" s="9"/>
      <c r="I26" s="13"/>
      <c r="J26" s="14"/>
      <c r="K26" s="10"/>
    </row>
    <row r="27" spans="1:12" ht="15.75" customHeight="1">
      <c r="A27" s="8"/>
      <c r="B27" s="14"/>
      <c r="C27" s="9"/>
      <c r="D27" s="9"/>
      <c r="E27" s="9"/>
      <c r="F27" s="9"/>
      <c r="G27" s="9"/>
      <c r="H27" s="9"/>
      <c r="I27" s="15"/>
      <c r="J27" s="14"/>
      <c r="K27" s="16"/>
      <c r="L27" s="17"/>
    </row>
    <row r="28" spans="1:12" ht="15.75" customHeight="1">
      <c r="A28" s="8"/>
      <c r="B28" s="14"/>
      <c r="C28" s="9"/>
      <c r="D28" s="9"/>
      <c r="E28" s="9"/>
      <c r="F28" s="9"/>
      <c r="G28" s="9"/>
      <c r="H28" s="9"/>
      <c r="I28" s="13"/>
      <c r="J28" s="15"/>
      <c r="K28" s="10"/>
    </row>
    <row r="29" spans="1:12" ht="15.75" customHeight="1">
      <c r="A29" s="8"/>
      <c r="B29" s="14"/>
      <c r="C29" s="9"/>
      <c r="D29" s="9"/>
      <c r="E29" s="9"/>
      <c r="F29" s="9"/>
      <c r="G29" s="9"/>
      <c r="H29" s="9"/>
      <c r="I29" s="10"/>
      <c r="J29" s="18"/>
      <c r="K29" s="10"/>
    </row>
    <row r="30" spans="1:12" ht="15.75" customHeight="1">
      <c r="A30" s="8"/>
      <c r="B30" s="14"/>
      <c r="C30" s="9"/>
      <c r="D30" s="9"/>
      <c r="E30" s="9"/>
      <c r="F30" s="9"/>
      <c r="G30" s="9"/>
      <c r="H30" s="9"/>
      <c r="I30" s="10"/>
      <c r="J30" s="19"/>
      <c r="K30" s="10"/>
    </row>
    <row r="31" spans="1:12" ht="16.5" customHeight="1">
      <c r="A31" s="8"/>
      <c r="B31" s="20"/>
      <c r="C31" s="21"/>
      <c r="D31" s="22"/>
      <c r="E31" s="22"/>
      <c r="F31" s="22"/>
      <c r="G31" s="22"/>
      <c r="H31" s="22"/>
      <c r="I31" s="23"/>
      <c r="J31" s="19"/>
      <c r="K31" s="10"/>
    </row>
    <row r="32" spans="1:12" ht="15.75" customHeight="1">
      <c r="A32" s="24"/>
      <c r="B32" s="25"/>
      <c r="C32" s="21"/>
      <c r="D32" s="22"/>
      <c r="E32" s="22"/>
      <c r="F32" s="22"/>
      <c r="G32" s="22"/>
      <c r="H32" s="22"/>
      <c r="I32" s="10"/>
      <c r="J32" s="19"/>
      <c r="K32" s="10"/>
    </row>
    <row r="33" spans="1:10" ht="15.75" customHeight="1">
      <c r="A33" s="26">
        <v>16</v>
      </c>
      <c r="B33" s="27"/>
      <c r="C33" s="28"/>
      <c r="D33" s="29">
        <f t="shared" ref="D33:G33" si="0">(COUNTIF(D8:D32,"SI")*1+COUNTIF(D26:D32,"NO")*0+COUNTIF(D26:D32,"NA")*0)</f>
        <v>10</v>
      </c>
      <c r="E33" s="29">
        <f t="shared" si="0"/>
        <v>10</v>
      </c>
      <c r="F33" s="29">
        <f t="shared" si="0"/>
        <v>10</v>
      </c>
      <c r="G33" s="29">
        <f t="shared" si="0"/>
        <v>10</v>
      </c>
      <c r="H33" s="30">
        <f>(COUNTIF(H8:H31,"SI")*1+COUNTIF(H8:H31,"NO")*0+COUNTIF(H8:H31,"NA")*0)</f>
        <v>10</v>
      </c>
      <c r="I33" s="143" t="s">
        <v>25</v>
      </c>
      <c r="J33" s="144"/>
    </row>
    <row r="34" spans="1:10" ht="15.75" customHeight="1">
      <c r="A34" s="31"/>
      <c r="B34" s="32"/>
      <c r="C34" s="33"/>
      <c r="D34" s="34">
        <f>(D33/A33)</f>
        <v>0.625</v>
      </c>
      <c r="E34" s="34">
        <f>(E33/A33)</f>
        <v>0.625</v>
      </c>
      <c r="F34" s="34">
        <f>(F33/A33)</f>
        <v>0.625</v>
      </c>
      <c r="G34" s="34">
        <f>(G33/A33)</f>
        <v>0.625</v>
      </c>
      <c r="H34" s="34">
        <f>(H33/A33)</f>
        <v>0.625</v>
      </c>
      <c r="I34" s="35"/>
      <c r="J34" s="36"/>
    </row>
    <row r="35" spans="1:10" ht="15.75" customHeight="1">
      <c r="A35" s="145" t="s">
        <v>26</v>
      </c>
      <c r="B35" s="140"/>
      <c r="C35" s="138"/>
      <c r="D35" s="146">
        <f>SUM(D34+E34+F34+G34+H34)/5</f>
        <v>0.625</v>
      </c>
      <c r="E35" s="140"/>
      <c r="F35" s="140"/>
      <c r="G35" s="140"/>
      <c r="H35" s="140"/>
      <c r="I35" s="140"/>
      <c r="J35" s="138"/>
    </row>
    <row r="36" spans="1:10" ht="15.75" customHeight="1">
      <c r="A36" s="147" t="s">
        <v>27</v>
      </c>
      <c r="B36" s="140"/>
      <c r="C36" s="140"/>
      <c r="D36" s="140"/>
      <c r="E36" s="140"/>
      <c r="F36" s="140"/>
      <c r="G36" s="140"/>
      <c r="H36" s="140"/>
      <c r="I36" s="140"/>
      <c r="J36" s="138"/>
    </row>
    <row r="37" spans="1:10" ht="15.75" customHeight="1">
      <c r="A37" s="142" t="s">
        <v>28</v>
      </c>
      <c r="B37" s="140"/>
      <c r="C37" s="140"/>
      <c r="D37" s="140"/>
      <c r="E37" s="140"/>
      <c r="F37" s="140"/>
      <c r="G37" s="140"/>
      <c r="H37" s="140"/>
      <c r="I37" s="140"/>
      <c r="J37" s="138"/>
    </row>
    <row r="38" spans="1:10" ht="15.75" customHeight="1">
      <c r="A38" s="147" t="s">
        <v>29</v>
      </c>
      <c r="B38" s="140"/>
      <c r="C38" s="140"/>
      <c r="D38" s="140"/>
      <c r="E38" s="140"/>
      <c r="F38" s="140"/>
      <c r="G38" s="140"/>
      <c r="H38" s="140"/>
      <c r="I38" s="140"/>
      <c r="J38" s="138"/>
    </row>
    <row r="39" spans="1:10" ht="15.75" customHeight="1">
      <c r="A39" s="142" t="s">
        <v>30</v>
      </c>
      <c r="B39" s="140"/>
      <c r="C39" s="140"/>
      <c r="D39" s="140"/>
      <c r="E39" s="140"/>
      <c r="F39" s="140"/>
      <c r="G39" s="140"/>
      <c r="H39" s="140"/>
      <c r="I39" s="140"/>
      <c r="J39" s="138"/>
    </row>
    <row r="40" spans="1:10" ht="15.75" customHeight="1">
      <c r="A40" s="142" t="s">
        <v>31</v>
      </c>
      <c r="B40" s="140"/>
      <c r="C40" s="140"/>
      <c r="D40" s="140"/>
      <c r="E40" s="140"/>
      <c r="F40" s="140"/>
      <c r="G40" s="140"/>
      <c r="H40" s="140"/>
      <c r="I40" s="140"/>
      <c r="J40" s="138"/>
    </row>
    <row r="41" spans="1:10" ht="15.75" customHeight="1">
      <c r="D41" s="37"/>
      <c r="E41" s="37"/>
      <c r="F41" s="37"/>
      <c r="G41" s="37"/>
      <c r="H41" s="37"/>
    </row>
    <row r="42" spans="1:10" ht="15.75" customHeight="1">
      <c r="D42" s="37"/>
      <c r="E42" s="37"/>
      <c r="F42" s="37"/>
      <c r="G42" s="37"/>
      <c r="H42" s="37"/>
    </row>
    <row r="43" spans="1:10" ht="15.75" customHeight="1">
      <c r="D43" s="37"/>
      <c r="E43" s="37"/>
      <c r="F43" s="37"/>
      <c r="G43" s="37"/>
      <c r="H43" s="37"/>
    </row>
    <row r="44" spans="1:10" ht="15.75" customHeight="1">
      <c r="D44" s="37"/>
      <c r="E44" s="37"/>
      <c r="F44" s="37"/>
      <c r="G44" s="37"/>
      <c r="H44" s="37"/>
    </row>
    <row r="45" spans="1:10" ht="15.75" customHeight="1">
      <c r="D45" s="37"/>
      <c r="E45" s="37"/>
      <c r="F45" s="37"/>
      <c r="G45" s="37"/>
      <c r="H45" s="37"/>
    </row>
    <row r="46" spans="1:10" ht="15.75" customHeight="1">
      <c r="D46" s="37"/>
      <c r="E46" s="37"/>
      <c r="F46" s="37"/>
      <c r="G46" s="37"/>
      <c r="H46" s="37"/>
    </row>
    <row r="47" spans="1:10" ht="15.75" customHeight="1">
      <c r="D47" s="37"/>
      <c r="E47" s="37"/>
      <c r="F47" s="37"/>
      <c r="G47" s="37"/>
      <c r="H47" s="37"/>
    </row>
    <row r="48" spans="1:10" ht="15.75" customHeight="1">
      <c r="D48" s="37"/>
      <c r="E48" s="37"/>
      <c r="F48" s="37"/>
      <c r="G48" s="37"/>
      <c r="H48" s="37"/>
    </row>
    <row r="49" spans="4:8" ht="15.75" customHeight="1">
      <c r="D49" s="37"/>
      <c r="E49" s="37"/>
      <c r="F49" s="37"/>
      <c r="G49" s="37"/>
      <c r="H49" s="37"/>
    </row>
    <row r="50" spans="4:8" ht="15.75" customHeight="1">
      <c r="D50" s="37"/>
      <c r="E50" s="37"/>
      <c r="F50" s="37"/>
      <c r="G50" s="37"/>
      <c r="H50" s="37"/>
    </row>
    <row r="51" spans="4:8" ht="15.75" customHeight="1">
      <c r="D51" s="37"/>
      <c r="E51" s="37"/>
      <c r="F51" s="37"/>
      <c r="G51" s="37"/>
      <c r="H51" s="37"/>
    </row>
    <row r="52" spans="4:8" ht="15.75" customHeight="1">
      <c r="D52" s="37"/>
      <c r="E52" s="37"/>
      <c r="F52" s="37"/>
      <c r="G52" s="37"/>
      <c r="H52" s="37"/>
    </row>
    <row r="53" spans="4:8" ht="15.75" customHeight="1">
      <c r="D53" s="37"/>
      <c r="E53" s="37"/>
      <c r="F53" s="37"/>
      <c r="G53" s="37"/>
      <c r="H53" s="37"/>
    </row>
    <row r="54" spans="4:8" ht="15.75" customHeight="1">
      <c r="D54" s="37"/>
      <c r="E54" s="37"/>
      <c r="F54" s="37"/>
      <c r="G54" s="37"/>
      <c r="H54" s="37"/>
    </row>
    <row r="55" spans="4:8" ht="15.75" customHeight="1">
      <c r="D55" s="37"/>
      <c r="E55" s="37"/>
      <c r="F55" s="37"/>
      <c r="G55" s="37"/>
      <c r="H55" s="37"/>
    </row>
    <row r="56" spans="4:8" ht="15.75" customHeight="1">
      <c r="D56" s="37"/>
      <c r="E56" s="37"/>
      <c r="F56" s="37"/>
      <c r="G56" s="37"/>
      <c r="H56" s="37"/>
    </row>
    <row r="57" spans="4:8" ht="15.75" customHeight="1">
      <c r="D57" s="37"/>
      <c r="E57" s="37"/>
      <c r="F57" s="37"/>
      <c r="G57" s="37"/>
      <c r="H57" s="37"/>
    </row>
    <row r="58" spans="4:8" ht="15.75" customHeight="1">
      <c r="D58" s="37"/>
      <c r="E58" s="37"/>
      <c r="F58" s="37"/>
      <c r="G58" s="37"/>
      <c r="H58" s="37"/>
    </row>
    <row r="59" spans="4:8" ht="15.75" customHeight="1">
      <c r="D59" s="37"/>
      <c r="E59" s="37"/>
      <c r="F59" s="37"/>
      <c r="G59" s="37"/>
      <c r="H59" s="37"/>
    </row>
    <row r="60" spans="4:8" ht="15.75" customHeight="1">
      <c r="D60" s="37"/>
      <c r="E60" s="37"/>
      <c r="F60" s="37"/>
      <c r="G60" s="37"/>
      <c r="H60" s="37"/>
    </row>
    <row r="61" spans="4:8" ht="15.75" customHeight="1">
      <c r="D61" s="37"/>
      <c r="E61" s="37"/>
      <c r="F61" s="37"/>
      <c r="G61" s="37"/>
      <c r="H61" s="37"/>
    </row>
    <row r="62" spans="4:8" ht="15.75" customHeight="1">
      <c r="D62" s="37"/>
      <c r="E62" s="37"/>
      <c r="F62" s="37"/>
      <c r="G62" s="37"/>
      <c r="H62" s="37"/>
    </row>
    <row r="63" spans="4:8" ht="15.75" customHeight="1">
      <c r="D63" s="37"/>
      <c r="E63" s="37"/>
      <c r="F63" s="37"/>
      <c r="G63" s="37"/>
      <c r="H63" s="37"/>
    </row>
    <row r="64" spans="4:8" ht="15.75" customHeight="1">
      <c r="D64" s="37"/>
      <c r="E64" s="37"/>
      <c r="F64" s="37"/>
      <c r="G64" s="37"/>
      <c r="H64" s="37"/>
    </row>
    <row r="65" spans="4:8" ht="15.75" customHeight="1">
      <c r="D65" s="37"/>
      <c r="E65" s="37"/>
      <c r="F65" s="37"/>
      <c r="G65" s="37"/>
      <c r="H65" s="37"/>
    </row>
    <row r="66" spans="4:8" ht="15.75" customHeight="1">
      <c r="D66" s="37"/>
      <c r="E66" s="37"/>
      <c r="F66" s="37"/>
      <c r="G66" s="37"/>
      <c r="H66" s="37"/>
    </row>
    <row r="67" spans="4:8" ht="15.75" customHeight="1">
      <c r="D67" s="37"/>
      <c r="E67" s="37"/>
      <c r="F67" s="37"/>
      <c r="G67" s="37"/>
      <c r="H67" s="37"/>
    </row>
    <row r="68" spans="4:8" ht="15.75" customHeight="1">
      <c r="D68" s="37"/>
      <c r="E68" s="37"/>
      <c r="F68" s="37"/>
      <c r="G68" s="37"/>
      <c r="H68" s="37"/>
    </row>
    <row r="69" spans="4:8" ht="15.75" customHeight="1">
      <c r="D69" s="37"/>
      <c r="E69" s="37"/>
      <c r="F69" s="37"/>
      <c r="G69" s="37"/>
      <c r="H69" s="37"/>
    </row>
    <row r="70" spans="4:8" ht="15.75" customHeight="1">
      <c r="D70" s="37"/>
      <c r="E70" s="37"/>
      <c r="F70" s="37"/>
      <c r="G70" s="37"/>
      <c r="H70" s="37"/>
    </row>
    <row r="71" spans="4:8" ht="15.75" customHeight="1">
      <c r="D71" s="37"/>
      <c r="E71" s="37"/>
      <c r="F71" s="37"/>
      <c r="G71" s="37"/>
      <c r="H71" s="37"/>
    </row>
    <row r="72" spans="4:8" ht="15.75" customHeight="1">
      <c r="D72" s="37"/>
      <c r="E72" s="37"/>
      <c r="F72" s="37"/>
      <c r="G72" s="37"/>
      <c r="H72" s="37"/>
    </row>
    <row r="73" spans="4:8" ht="15.75" customHeight="1">
      <c r="D73" s="37"/>
      <c r="E73" s="37"/>
      <c r="F73" s="37"/>
      <c r="G73" s="37"/>
      <c r="H73" s="37"/>
    </row>
    <row r="74" spans="4:8" ht="15.75" customHeight="1">
      <c r="D74" s="37"/>
      <c r="E74" s="37"/>
      <c r="F74" s="37"/>
      <c r="G74" s="37"/>
      <c r="H74" s="37"/>
    </row>
    <row r="75" spans="4:8" ht="15.75" customHeight="1">
      <c r="D75" s="37"/>
      <c r="E75" s="37"/>
      <c r="F75" s="37"/>
      <c r="G75" s="37"/>
      <c r="H75" s="37"/>
    </row>
    <row r="76" spans="4:8" ht="15.75" customHeight="1">
      <c r="D76" s="37"/>
      <c r="E76" s="37"/>
      <c r="F76" s="37"/>
      <c r="G76" s="37"/>
      <c r="H76" s="37"/>
    </row>
    <row r="77" spans="4:8" ht="15.75" customHeight="1">
      <c r="D77" s="37"/>
      <c r="E77" s="37"/>
      <c r="F77" s="37"/>
      <c r="G77" s="37"/>
      <c r="H77" s="37"/>
    </row>
    <row r="78" spans="4:8" ht="15.75" customHeight="1">
      <c r="D78" s="37"/>
      <c r="E78" s="37"/>
      <c r="F78" s="37"/>
      <c r="G78" s="37"/>
      <c r="H78" s="37"/>
    </row>
    <row r="79" spans="4:8" ht="15.75" customHeight="1">
      <c r="D79" s="37"/>
      <c r="E79" s="37"/>
      <c r="F79" s="37"/>
      <c r="G79" s="37"/>
      <c r="H79" s="37"/>
    </row>
    <row r="80" spans="4:8" ht="15.75" customHeight="1">
      <c r="D80" s="37"/>
      <c r="E80" s="37"/>
      <c r="F80" s="37"/>
      <c r="G80" s="37"/>
      <c r="H80" s="37"/>
    </row>
    <row r="81" spans="4:8" ht="15.75" customHeight="1">
      <c r="D81" s="37"/>
      <c r="E81" s="37"/>
      <c r="F81" s="37"/>
      <c r="G81" s="37"/>
      <c r="H81" s="37"/>
    </row>
    <row r="82" spans="4:8" ht="15.75" customHeight="1">
      <c r="D82" s="37"/>
      <c r="E82" s="37"/>
      <c r="F82" s="37"/>
      <c r="G82" s="37"/>
      <c r="H82" s="37"/>
    </row>
    <row r="83" spans="4:8" ht="15.75" customHeight="1">
      <c r="D83" s="37"/>
      <c r="E83" s="37"/>
      <c r="F83" s="37"/>
      <c r="G83" s="37"/>
      <c r="H83" s="37"/>
    </row>
    <row r="84" spans="4:8" ht="15.75" customHeight="1">
      <c r="D84" s="37"/>
      <c r="E84" s="37"/>
      <c r="F84" s="37"/>
      <c r="G84" s="37"/>
      <c r="H84" s="37"/>
    </row>
    <row r="85" spans="4:8" ht="15.75" customHeight="1">
      <c r="D85" s="37"/>
      <c r="E85" s="37"/>
      <c r="F85" s="37"/>
      <c r="G85" s="37"/>
      <c r="H85" s="37"/>
    </row>
    <row r="86" spans="4:8" ht="15.75" customHeight="1">
      <c r="D86" s="37"/>
      <c r="E86" s="37"/>
      <c r="F86" s="37"/>
      <c r="G86" s="37"/>
      <c r="H86" s="37"/>
    </row>
    <row r="87" spans="4:8" ht="15.75" customHeight="1">
      <c r="D87" s="37"/>
      <c r="E87" s="37"/>
      <c r="F87" s="37"/>
      <c r="G87" s="37"/>
      <c r="H87" s="37"/>
    </row>
    <row r="88" spans="4:8" ht="15.75" customHeight="1">
      <c r="D88" s="37"/>
      <c r="E88" s="37"/>
      <c r="F88" s="37"/>
      <c r="G88" s="37"/>
      <c r="H88" s="37"/>
    </row>
    <row r="89" spans="4:8" ht="15.75" customHeight="1">
      <c r="D89" s="37"/>
      <c r="E89" s="37"/>
      <c r="F89" s="37"/>
      <c r="G89" s="37"/>
      <c r="H89" s="37"/>
    </row>
    <row r="90" spans="4:8" ht="15.75" customHeight="1">
      <c r="D90" s="37"/>
      <c r="E90" s="37"/>
      <c r="F90" s="37"/>
      <c r="G90" s="37"/>
      <c r="H90" s="37"/>
    </row>
    <row r="91" spans="4:8" ht="15.75" customHeight="1">
      <c r="D91" s="37"/>
      <c r="E91" s="37"/>
      <c r="F91" s="37"/>
      <c r="G91" s="37"/>
      <c r="H91" s="37"/>
    </row>
    <row r="92" spans="4:8" ht="15.75" customHeight="1">
      <c r="D92" s="37"/>
      <c r="E92" s="37"/>
      <c r="F92" s="37"/>
      <c r="G92" s="37"/>
      <c r="H92" s="37"/>
    </row>
    <row r="93" spans="4:8" ht="15.75" customHeight="1">
      <c r="D93" s="37"/>
      <c r="E93" s="37"/>
      <c r="F93" s="37"/>
      <c r="G93" s="37"/>
      <c r="H93" s="37"/>
    </row>
    <row r="94" spans="4:8" ht="15.75" customHeight="1">
      <c r="D94" s="37"/>
      <c r="E94" s="37"/>
      <c r="F94" s="37"/>
      <c r="G94" s="37"/>
      <c r="H94" s="37"/>
    </row>
    <row r="95" spans="4:8" ht="15.75" customHeight="1">
      <c r="D95" s="37"/>
      <c r="E95" s="37"/>
      <c r="F95" s="37"/>
      <c r="G95" s="37"/>
      <c r="H95" s="37"/>
    </row>
    <row r="96" spans="4:8" ht="15.75" customHeight="1">
      <c r="D96" s="37"/>
      <c r="E96" s="37"/>
      <c r="F96" s="37"/>
      <c r="G96" s="37"/>
      <c r="H96" s="37"/>
    </row>
    <row r="97" spans="4:8" ht="15.75" customHeight="1">
      <c r="D97" s="37"/>
      <c r="E97" s="37"/>
      <c r="F97" s="37"/>
      <c r="G97" s="37"/>
      <c r="H97" s="37"/>
    </row>
    <row r="98" spans="4:8" ht="15.75" customHeight="1">
      <c r="D98" s="37"/>
      <c r="E98" s="37"/>
      <c r="F98" s="37"/>
      <c r="G98" s="37"/>
      <c r="H98" s="37"/>
    </row>
    <row r="99" spans="4:8" ht="15.75" customHeight="1">
      <c r="D99" s="37"/>
      <c r="E99" s="37"/>
      <c r="F99" s="37"/>
      <c r="G99" s="37"/>
      <c r="H99" s="37"/>
    </row>
    <row r="100" spans="4:8" ht="15.75" customHeight="1">
      <c r="D100" s="37"/>
      <c r="E100" s="37"/>
      <c r="F100" s="37"/>
      <c r="G100" s="37"/>
      <c r="H100" s="37"/>
    </row>
    <row r="101" spans="4:8" ht="15.75" customHeight="1">
      <c r="D101" s="37"/>
      <c r="E101" s="37"/>
      <c r="F101" s="37"/>
      <c r="G101" s="37"/>
      <c r="H101" s="37"/>
    </row>
    <row r="102" spans="4:8" ht="15.75" customHeight="1">
      <c r="D102" s="37"/>
      <c r="E102" s="37"/>
      <c r="F102" s="37"/>
      <c r="G102" s="37"/>
      <c r="H102" s="37"/>
    </row>
    <row r="103" spans="4:8" ht="15.75" customHeight="1">
      <c r="D103" s="37"/>
      <c r="E103" s="37"/>
      <c r="F103" s="37"/>
      <c r="G103" s="37"/>
      <c r="H103" s="37"/>
    </row>
    <row r="104" spans="4:8" ht="15.75" customHeight="1">
      <c r="D104" s="37"/>
      <c r="E104" s="37"/>
      <c r="F104" s="37"/>
      <c r="G104" s="37"/>
      <c r="H104" s="37"/>
    </row>
    <row r="105" spans="4:8" ht="15.75" customHeight="1">
      <c r="D105" s="37"/>
      <c r="E105" s="37"/>
      <c r="F105" s="37"/>
      <c r="G105" s="37"/>
      <c r="H105" s="37"/>
    </row>
    <row r="106" spans="4:8" ht="15.75" customHeight="1">
      <c r="D106" s="37"/>
      <c r="E106" s="37"/>
      <c r="F106" s="37"/>
      <c r="G106" s="37"/>
      <c r="H106" s="37"/>
    </row>
    <row r="107" spans="4:8" ht="15.75" customHeight="1">
      <c r="D107" s="37"/>
      <c r="E107" s="37"/>
      <c r="F107" s="37"/>
      <c r="G107" s="37"/>
      <c r="H107" s="37"/>
    </row>
    <row r="108" spans="4:8" ht="15.75" customHeight="1">
      <c r="D108" s="37"/>
      <c r="E108" s="37"/>
      <c r="F108" s="37"/>
      <c r="G108" s="37"/>
      <c r="H108" s="37"/>
    </row>
    <row r="109" spans="4:8" ht="15.75" customHeight="1">
      <c r="D109" s="37"/>
      <c r="E109" s="37"/>
      <c r="F109" s="37"/>
      <c r="G109" s="37"/>
      <c r="H109" s="37"/>
    </row>
    <row r="110" spans="4:8" ht="15.75" customHeight="1">
      <c r="D110" s="37"/>
      <c r="E110" s="37"/>
      <c r="F110" s="37"/>
      <c r="G110" s="37"/>
      <c r="H110" s="37"/>
    </row>
    <row r="111" spans="4:8" ht="15.75" customHeight="1">
      <c r="D111" s="37"/>
      <c r="E111" s="37"/>
      <c r="F111" s="37"/>
      <c r="G111" s="37"/>
      <c r="H111" s="37"/>
    </row>
    <row r="112" spans="4:8" ht="15.75" customHeight="1">
      <c r="D112" s="37"/>
      <c r="E112" s="37"/>
      <c r="F112" s="37"/>
      <c r="G112" s="37"/>
      <c r="H112" s="37"/>
    </row>
    <row r="113" spans="4:8" ht="15.75" customHeight="1">
      <c r="D113" s="37"/>
      <c r="E113" s="37"/>
      <c r="F113" s="37"/>
      <c r="G113" s="37"/>
      <c r="H113" s="37"/>
    </row>
    <row r="114" spans="4:8" ht="15.75" customHeight="1">
      <c r="D114" s="37"/>
      <c r="E114" s="37"/>
      <c r="F114" s="37"/>
      <c r="G114" s="37"/>
      <c r="H114" s="37"/>
    </row>
    <row r="115" spans="4:8" ht="15.75" customHeight="1">
      <c r="D115" s="37"/>
      <c r="E115" s="37"/>
      <c r="F115" s="37"/>
      <c r="G115" s="37"/>
      <c r="H115" s="37"/>
    </row>
    <row r="116" spans="4:8" ht="15.75" customHeight="1">
      <c r="D116" s="37"/>
      <c r="E116" s="37"/>
      <c r="F116" s="37"/>
      <c r="G116" s="37"/>
      <c r="H116" s="37"/>
    </row>
    <row r="117" spans="4:8" ht="15.75" customHeight="1">
      <c r="D117" s="37"/>
      <c r="E117" s="37"/>
      <c r="F117" s="37"/>
      <c r="G117" s="37"/>
      <c r="H117" s="37"/>
    </row>
    <row r="118" spans="4:8" ht="15.75" customHeight="1">
      <c r="D118" s="37"/>
      <c r="E118" s="37"/>
      <c r="F118" s="37"/>
      <c r="G118" s="37"/>
      <c r="H118" s="37"/>
    </row>
    <row r="119" spans="4:8" ht="15.75" customHeight="1">
      <c r="D119" s="37"/>
      <c r="E119" s="37"/>
      <c r="F119" s="37"/>
      <c r="G119" s="37"/>
      <c r="H119" s="37"/>
    </row>
    <row r="120" spans="4:8" ht="15.75" customHeight="1">
      <c r="D120" s="37"/>
      <c r="E120" s="37"/>
      <c r="F120" s="37"/>
      <c r="G120" s="37"/>
      <c r="H120" s="37"/>
    </row>
    <row r="121" spans="4:8" ht="15.75" customHeight="1">
      <c r="D121" s="37"/>
      <c r="E121" s="37"/>
      <c r="F121" s="37"/>
      <c r="G121" s="37"/>
      <c r="H121" s="37"/>
    </row>
    <row r="122" spans="4:8" ht="15.75" customHeight="1">
      <c r="D122" s="37"/>
      <c r="E122" s="37"/>
      <c r="F122" s="37"/>
      <c r="G122" s="37"/>
      <c r="H122" s="37"/>
    </row>
    <row r="123" spans="4:8" ht="15.75" customHeight="1">
      <c r="D123" s="37"/>
      <c r="E123" s="37"/>
      <c r="F123" s="37"/>
      <c r="G123" s="37"/>
      <c r="H123" s="37"/>
    </row>
    <row r="124" spans="4:8" ht="15.75" customHeight="1">
      <c r="D124" s="37"/>
      <c r="E124" s="37"/>
      <c r="F124" s="37"/>
      <c r="G124" s="37"/>
      <c r="H124" s="37"/>
    </row>
    <row r="125" spans="4:8" ht="15.75" customHeight="1">
      <c r="D125" s="37"/>
      <c r="E125" s="37"/>
      <c r="F125" s="37"/>
      <c r="G125" s="37"/>
      <c r="H125" s="37"/>
    </row>
    <row r="126" spans="4:8" ht="15.75" customHeight="1">
      <c r="D126" s="37"/>
      <c r="E126" s="37"/>
      <c r="F126" s="37"/>
      <c r="G126" s="37"/>
      <c r="H126" s="37"/>
    </row>
    <row r="127" spans="4:8" ht="15.75" customHeight="1">
      <c r="D127" s="37"/>
      <c r="E127" s="37"/>
      <c r="F127" s="37"/>
      <c r="G127" s="37"/>
      <c r="H127" s="37"/>
    </row>
    <row r="128" spans="4:8" ht="15.75" customHeight="1">
      <c r="D128" s="37"/>
      <c r="E128" s="37"/>
      <c r="F128" s="37"/>
      <c r="G128" s="37"/>
      <c r="H128" s="37"/>
    </row>
    <row r="129" spans="4:8" ht="15.75" customHeight="1">
      <c r="D129" s="37"/>
      <c r="E129" s="37"/>
      <c r="F129" s="37"/>
      <c r="G129" s="37"/>
      <c r="H129" s="37"/>
    </row>
    <row r="130" spans="4:8" ht="15.75" customHeight="1">
      <c r="D130" s="37"/>
      <c r="E130" s="37"/>
      <c r="F130" s="37"/>
      <c r="G130" s="37"/>
      <c r="H130" s="37"/>
    </row>
    <row r="131" spans="4:8" ht="15.75" customHeight="1">
      <c r="D131" s="37"/>
      <c r="E131" s="37"/>
      <c r="F131" s="37"/>
      <c r="G131" s="37"/>
      <c r="H131" s="37"/>
    </row>
    <row r="132" spans="4:8" ht="15.75" customHeight="1">
      <c r="D132" s="37"/>
      <c r="E132" s="37"/>
      <c r="F132" s="37"/>
      <c r="G132" s="37"/>
      <c r="H132" s="37"/>
    </row>
    <row r="133" spans="4:8" ht="15.75" customHeight="1">
      <c r="D133" s="37"/>
      <c r="E133" s="37"/>
      <c r="F133" s="37"/>
      <c r="G133" s="37"/>
      <c r="H133" s="37"/>
    </row>
    <row r="134" spans="4:8" ht="15.75" customHeight="1">
      <c r="D134" s="37"/>
      <c r="E134" s="37"/>
      <c r="F134" s="37"/>
      <c r="G134" s="37"/>
      <c r="H134" s="37"/>
    </row>
    <row r="135" spans="4:8" ht="15.75" customHeight="1">
      <c r="D135" s="37"/>
      <c r="E135" s="37"/>
      <c r="F135" s="37"/>
      <c r="G135" s="37"/>
      <c r="H135" s="37"/>
    </row>
    <row r="136" spans="4:8" ht="15.75" customHeight="1">
      <c r="D136" s="37"/>
      <c r="E136" s="37"/>
      <c r="F136" s="37"/>
      <c r="G136" s="37"/>
      <c r="H136" s="37"/>
    </row>
    <row r="137" spans="4:8" ht="15.75" customHeight="1">
      <c r="D137" s="37"/>
      <c r="E137" s="37"/>
      <c r="F137" s="37"/>
      <c r="G137" s="37"/>
      <c r="H137" s="37"/>
    </row>
    <row r="138" spans="4:8" ht="15.75" customHeight="1">
      <c r="D138" s="37"/>
      <c r="E138" s="37"/>
      <c r="F138" s="37"/>
      <c r="G138" s="37"/>
      <c r="H138" s="37"/>
    </row>
    <row r="139" spans="4:8" ht="15.75" customHeight="1">
      <c r="D139" s="37"/>
      <c r="E139" s="37"/>
      <c r="F139" s="37"/>
      <c r="G139" s="37"/>
      <c r="H139" s="37"/>
    </row>
    <row r="140" spans="4:8" ht="15.75" customHeight="1">
      <c r="D140" s="37"/>
      <c r="E140" s="37"/>
      <c r="F140" s="37"/>
      <c r="G140" s="37"/>
      <c r="H140" s="37"/>
    </row>
    <row r="141" spans="4:8" ht="15.75" customHeight="1">
      <c r="D141" s="37"/>
      <c r="E141" s="37"/>
      <c r="F141" s="37"/>
      <c r="G141" s="37"/>
      <c r="H141" s="37"/>
    </row>
    <row r="142" spans="4:8" ht="15.75" customHeight="1">
      <c r="D142" s="37"/>
      <c r="E142" s="37"/>
      <c r="F142" s="37"/>
      <c r="G142" s="37"/>
      <c r="H142" s="37"/>
    </row>
    <row r="143" spans="4:8" ht="15.75" customHeight="1">
      <c r="D143" s="37"/>
      <c r="E143" s="37"/>
      <c r="F143" s="37"/>
      <c r="G143" s="37"/>
      <c r="H143" s="37"/>
    </row>
    <row r="144" spans="4:8" ht="15.75" customHeight="1">
      <c r="D144" s="37"/>
      <c r="E144" s="37"/>
      <c r="F144" s="37"/>
      <c r="G144" s="37"/>
      <c r="H144" s="37"/>
    </row>
    <row r="145" spans="4:8" ht="15.75" customHeight="1">
      <c r="D145" s="37"/>
      <c r="E145" s="37"/>
      <c r="F145" s="37"/>
      <c r="G145" s="37"/>
      <c r="H145" s="37"/>
    </row>
    <row r="146" spans="4:8" ht="15.75" customHeight="1">
      <c r="D146" s="37"/>
      <c r="E146" s="37"/>
      <c r="F146" s="37"/>
      <c r="G146" s="37"/>
      <c r="H146" s="37"/>
    </row>
    <row r="147" spans="4:8" ht="15.75" customHeight="1">
      <c r="D147" s="37"/>
      <c r="E147" s="37"/>
      <c r="F147" s="37"/>
      <c r="G147" s="37"/>
      <c r="H147" s="37"/>
    </row>
    <row r="148" spans="4:8" ht="15.75" customHeight="1">
      <c r="D148" s="37"/>
      <c r="E148" s="37"/>
      <c r="F148" s="37"/>
      <c r="G148" s="37"/>
      <c r="H148" s="37"/>
    </row>
    <row r="149" spans="4:8" ht="15.75" customHeight="1">
      <c r="D149" s="37"/>
      <c r="E149" s="37"/>
      <c r="F149" s="37"/>
      <c r="G149" s="37"/>
      <c r="H149" s="37"/>
    </row>
    <row r="150" spans="4:8" ht="15.75" customHeight="1">
      <c r="D150" s="37"/>
      <c r="E150" s="37"/>
      <c r="F150" s="37"/>
      <c r="G150" s="37"/>
      <c r="H150" s="37"/>
    </row>
    <row r="151" spans="4:8" ht="15.75" customHeight="1">
      <c r="D151" s="37"/>
      <c r="E151" s="37"/>
      <c r="F151" s="37"/>
      <c r="G151" s="37"/>
      <c r="H151" s="37"/>
    </row>
    <row r="152" spans="4:8" ht="15.75" customHeight="1">
      <c r="D152" s="37"/>
      <c r="E152" s="37"/>
      <c r="F152" s="37"/>
      <c r="G152" s="37"/>
      <c r="H152" s="37"/>
    </row>
    <row r="153" spans="4:8" ht="15.75" customHeight="1">
      <c r="D153" s="37"/>
      <c r="E153" s="37"/>
      <c r="F153" s="37"/>
      <c r="G153" s="37"/>
      <c r="H153" s="37"/>
    </row>
    <row r="154" spans="4:8" ht="15.75" customHeight="1">
      <c r="D154" s="37"/>
      <c r="E154" s="37"/>
      <c r="F154" s="37"/>
      <c r="G154" s="37"/>
      <c r="H154" s="37"/>
    </row>
    <row r="155" spans="4:8" ht="15.75" customHeight="1">
      <c r="D155" s="37"/>
      <c r="E155" s="37"/>
      <c r="F155" s="37"/>
      <c r="G155" s="37"/>
      <c r="H155" s="37"/>
    </row>
    <row r="156" spans="4:8" ht="15.75" customHeight="1">
      <c r="D156" s="37"/>
      <c r="E156" s="37"/>
      <c r="F156" s="37"/>
      <c r="G156" s="37"/>
      <c r="H156" s="37"/>
    </row>
    <row r="157" spans="4:8" ht="15.75" customHeight="1">
      <c r="D157" s="37"/>
      <c r="E157" s="37"/>
      <c r="F157" s="37"/>
      <c r="G157" s="37"/>
      <c r="H157" s="37"/>
    </row>
    <row r="158" spans="4:8" ht="15.75" customHeight="1">
      <c r="D158" s="37"/>
      <c r="E158" s="37"/>
      <c r="F158" s="37"/>
      <c r="G158" s="37"/>
      <c r="H158" s="37"/>
    </row>
    <row r="159" spans="4:8" ht="15.75" customHeight="1">
      <c r="D159" s="37"/>
      <c r="E159" s="37"/>
      <c r="F159" s="37"/>
      <c r="G159" s="37"/>
      <c r="H159" s="37"/>
    </row>
    <row r="160" spans="4:8" ht="15.75" customHeight="1">
      <c r="D160" s="37"/>
      <c r="E160" s="37"/>
      <c r="F160" s="37"/>
      <c r="G160" s="37"/>
      <c r="H160" s="37"/>
    </row>
    <row r="161" spans="4:8" ht="15.75" customHeight="1">
      <c r="D161" s="37"/>
      <c r="E161" s="37"/>
      <c r="F161" s="37"/>
      <c r="G161" s="37"/>
      <c r="H161" s="37"/>
    </row>
    <row r="162" spans="4:8" ht="15.75" customHeight="1">
      <c r="D162" s="37"/>
      <c r="E162" s="37"/>
      <c r="F162" s="37"/>
      <c r="G162" s="37"/>
      <c r="H162" s="37"/>
    </row>
    <row r="163" spans="4:8" ht="15.75" customHeight="1">
      <c r="D163" s="37"/>
      <c r="E163" s="37"/>
      <c r="F163" s="37"/>
      <c r="G163" s="37"/>
      <c r="H163" s="37"/>
    </row>
    <row r="164" spans="4:8" ht="15.75" customHeight="1">
      <c r="D164" s="37"/>
      <c r="E164" s="37"/>
      <c r="F164" s="37"/>
      <c r="G164" s="37"/>
      <c r="H164" s="37"/>
    </row>
    <row r="165" spans="4:8" ht="15.75" customHeight="1">
      <c r="D165" s="37"/>
      <c r="E165" s="37"/>
      <c r="F165" s="37"/>
      <c r="G165" s="37"/>
      <c r="H165" s="37"/>
    </row>
    <row r="166" spans="4:8" ht="15.75" customHeight="1">
      <c r="D166" s="37"/>
      <c r="E166" s="37"/>
      <c r="F166" s="37"/>
      <c r="G166" s="37"/>
      <c r="H166" s="37"/>
    </row>
    <row r="167" spans="4:8" ht="15.75" customHeight="1">
      <c r="D167" s="37"/>
      <c r="E167" s="37"/>
      <c r="F167" s="37"/>
      <c r="G167" s="37"/>
      <c r="H167" s="37"/>
    </row>
    <row r="168" spans="4:8" ht="15.75" customHeight="1">
      <c r="D168" s="37"/>
      <c r="E168" s="37"/>
      <c r="F168" s="37"/>
      <c r="G168" s="37"/>
      <c r="H168" s="37"/>
    </row>
    <row r="169" spans="4:8" ht="15.75" customHeight="1">
      <c r="D169" s="37"/>
      <c r="E169" s="37"/>
      <c r="F169" s="37"/>
      <c r="G169" s="37"/>
      <c r="H169" s="37"/>
    </row>
    <row r="170" spans="4:8" ht="15.75" customHeight="1">
      <c r="D170" s="37"/>
      <c r="E170" s="37"/>
      <c r="F170" s="37"/>
      <c r="G170" s="37"/>
      <c r="H170" s="37"/>
    </row>
    <row r="171" spans="4:8" ht="15.75" customHeight="1">
      <c r="D171" s="37"/>
      <c r="E171" s="37"/>
      <c r="F171" s="37"/>
      <c r="G171" s="37"/>
      <c r="H171" s="37"/>
    </row>
    <row r="172" spans="4:8" ht="15.75" customHeight="1">
      <c r="D172" s="37"/>
      <c r="E172" s="37"/>
      <c r="F172" s="37"/>
      <c r="G172" s="37"/>
      <c r="H172" s="37"/>
    </row>
    <row r="173" spans="4:8" ht="15.75" customHeight="1">
      <c r="D173" s="37"/>
      <c r="E173" s="37"/>
      <c r="F173" s="37"/>
      <c r="G173" s="37"/>
      <c r="H173" s="37"/>
    </row>
    <row r="174" spans="4:8" ht="15.75" customHeight="1">
      <c r="D174" s="37"/>
      <c r="E174" s="37"/>
      <c r="F174" s="37"/>
      <c r="G174" s="37"/>
      <c r="H174" s="37"/>
    </row>
    <row r="175" spans="4:8" ht="15.75" customHeight="1">
      <c r="D175" s="37"/>
      <c r="E175" s="37"/>
      <c r="F175" s="37"/>
      <c r="G175" s="37"/>
      <c r="H175" s="37"/>
    </row>
    <row r="176" spans="4:8" ht="15.75" customHeight="1">
      <c r="D176" s="37"/>
      <c r="E176" s="37"/>
      <c r="F176" s="37"/>
      <c r="G176" s="37"/>
      <c r="H176" s="37"/>
    </row>
    <row r="177" spans="4:8" ht="15.75" customHeight="1">
      <c r="D177" s="37"/>
      <c r="E177" s="37"/>
      <c r="F177" s="37"/>
      <c r="G177" s="37"/>
      <c r="H177" s="37"/>
    </row>
    <row r="178" spans="4:8" ht="15.75" customHeight="1">
      <c r="D178" s="37"/>
      <c r="E178" s="37"/>
      <c r="F178" s="37"/>
      <c r="G178" s="37"/>
      <c r="H178" s="37"/>
    </row>
    <row r="179" spans="4:8" ht="15.75" customHeight="1">
      <c r="D179" s="37"/>
      <c r="E179" s="37"/>
      <c r="F179" s="37"/>
      <c r="G179" s="37"/>
      <c r="H179" s="37"/>
    </row>
    <row r="180" spans="4:8" ht="15.75" customHeight="1">
      <c r="D180" s="37"/>
      <c r="E180" s="37"/>
      <c r="F180" s="37"/>
      <c r="G180" s="37"/>
      <c r="H180" s="37"/>
    </row>
    <row r="181" spans="4:8" ht="15.75" customHeight="1">
      <c r="D181" s="37"/>
      <c r="E181" s="37"/>
      <c r="F181" s="37"/>
      <c r="G181" s="37"/>
      <c r="H181" s="37"/>
    </row>
    <row r="182" spans="4:8" ht="15.75" customHeight="1">
      <c r="D182" s="37"/>
      <c r="E182" s="37"/>
      <c r="F182" s="37"/>
      <c r="G182" s="37"/>
      <c r="H182" s="37"/>
    </row>
    <row r="183" spans="4:8" ht="15.75" customHeight="1">
      <c r="D183" s="37"/>
      <c r="E183" s="37"/>
      <c r="F183" s="37"/>
      <c r="G183" s="37"/>
      <c r="H183" s="37"/>
    </row>
    <row r="184" spans="4:8" ht="15.75" customHeight="1">
      <c r="D184" s="37"/>
      <c r="E184" s="37"/>
      <c r="F184" s="37"/>
      <c r="G184" s="37"/>
      <c r="H184" s="37"/>
    </row>
    <row r="185" spans="4:8" ht="15.75" customHeight="1">
      <c r="D185" s="37"/>
      <c r="E185" s="37"/>
      <c r="F185" s="37"/>
      <c r="G185" s="37"/>
      <c r="H185" s="37"/>
    </row>
    <row r="186" spans="4:8" ht="15.75" customHeight="1">
      <c r="D186" s="37"/>
      <c r="E186" s="37"/>
      <c r="F186" s="37"/>
      <c r="G186" s="37"/>
      <c r="H186" s="37"/>
    </row>
    <row r="187" spans="4:8" ht="15.75" customHeight="1">
      <c r="D187" s="37"/>
      <c r="E187" s="37"/>
      <c r="F187" s="37"/>
      <c r="G187" s="37"/>
      <c r="H187" s="37"/>
    </row>
    <row r="188" spans="4:8" ht="15.75" customHeight="1">
      <c r="D188" s="37"/>
      <c r="E188" s="37"/>
      <c r="F188" s="37"/>
      <c r="G188" s="37"/>
      <c r="H188" s="37"/>
    </row>
    <row r="189" spans="4:8" ht="15.75" customHeight="1">
      <c r="D189" s="37"/>
      <c r="E189" s="37"/>
      <c r="F189" s="37"/>
      <c r="G189" s="37"/>
      <c r="H189" s="37"/>
    </row>
    <row r="190" spans="4:8" ht="15.75" customHeight="1">
      <c r="D190" s="37"/>
      <c r="E190" s="37"/>
      <c r="F190" s="37"/>
      <c r="G190" s="37"/>
      <c r="H190" s="37"/>
    </row>
    <row r="191" spans="4:8" ht="15.75" customHeight="1">
      <c r="D191" s="37"/>
      <c r="E191" s="37"/>
      <c r="F191" s="37"/>
      <c r="G191" s="37"/>
      <c r="H191" s="37"/>
    </row>
    <row r="192" spans="4:8" ht="15.75" customHeight="1">
      <c r="D192" s="37"/>
      <c r="E192" s="37"/>
      <c r="F192" s="37"/>
      <c r="G192" s="37"/>
      <c r="H192" s="37"/>
    </row>
    <row r="193" spans="4:8" ht="15.75" customHeight="1">
      <c r="D193" s="37"/>
      <c r="E193" s="37"/>
      <c r="F193" s="37"/>
      <c r="G193" s="37"/>
      <c r="H193" s="37"/>
    </row>
    <row r="194" spans="4:8" ht="15.75" customHeight="1">
      <c r="D194" s="37"/>
      <c r="E194" s="37"/>
      <c r="F194" s="37"/>
      <c r="G194" s="37"/>
      <c r="H194" s="37"/>
    </row>
    <row r="195" spans="4:8" ht="15.75" customHeight="1">
      <c r="D195" s="37"/>
      <c r="E195" s="37"/>
      <c r="F195" s="37"/>
      <c r="G195" s="37"/>
      <c r="H195" s="37"/>
    </row>
    <row r="196" spans="4:8" ht="15.75" customHeight="1">
      <c r="D196" s="37"/>
      <c r="E196" s="37"/>
      <c r="F196" s="37"/>
      <c r="G196" s="37"/>
      <c r="H196" s="37"/>
    </row>
    <row r="197" spans="4:8" ht="15.75" customHeight="1">
      <c r="D197" s="37"/>
      <c r="E197" s="37"/>
      <c r="F197" s="37"/>
      <c r="G197" s="37"/>
      <c r="H197" s="37"/>
    </row>
    <row r="198" spans="4:8" ht="15.75" customHeight="1">
      <c r="D198" s="37"/>
      <c r="E198" s="37"/>
      <c r="F198" s="37"/>
      <c r="G198" s="37"/>
      <c r="H198" s="37"/>
    </row>
    <row r="199" spans="4:8" ht="15.75" customHeight="1">
      <c r="D199" s="37"/>
      <c r="E199" s="37"/>
      <c r="F199" s="37"/>
      <c r="G199" s="37"/>
      <c r="H199" s="37"/>
    </row>
    <row r="200" spans="4:8" ht="15.75" customHeight="1">
      <c r="D200" s="37"/>
      <c r="E200" s="37"/>
      <c r="F200" s="37"/>
      <c r="G200" s="37"/>
      <c r="H200" s="37"/>
    </row>
    <row r="201" spans="4:8" ht="15.75" customHeight="1">
      <c r="D201" s="37"/>
      <c r="E201" s="37"/>
      <c r="F201" s="37"/>
      <c r="G201" s="37"/>
      <c r="H201" s="37"/>
    </row>
    <row r="202" spans="4:8" ht="15.75" customHeight="1">
      <c r="D202" s="37"/>
      <c r="E202" s="37"/>
      <c r="F202" s="37"/>
      <c r="G202" s="37"/>
      <c r="H202" s="37"/>
    </row>
    <row r="203" spans="4:8" ht="15.75" customHeight="1">
      <c r="D203" s="37"/>
      <c r="E203" s="37"/>
      <c r="F203" s="37"/>
      <c r="G203" s="37"/>
      <c r="H203" s="37"/>
    </row>
    <row r="204" spans="4:8" ht="15.75" customHeight="1">
      <c r="D204" s="37"/>
      <c r="E204" s="37"/>
      <c r="F204" s="37"/>
      <c r="G204" s="37"/>
      <c r="H204" s="37"/>
    </row>
    <row r="205" spans="4:8" ht="15.75" customHeight="1">
      <c r="D205" s="37"/>
      <c r="E205" s="37"/>
      <c r="F205" s="37"/>
      <c r="G205" s="37"/>
      <c r="H205" s="37"/>
    </row>
    <row r="206" spans="4:8" ht="15.75" customHeight="1">
      <c r="D206" s="37"/>
      <c r="E206" s="37"/>
      <c r="F206" s="37"/>
      <c r="G206" s="37"/>
      <c r="H206" s="37"/>
    </row>
    <row r="207" spans="4:8" ht="15.75" customHeight="1">
      <c r="D207" s="37"/>
      <c r="E207" s="37"/>
      <c r="F207" s="37"/>
      <c r="G207" s="37"/>
      <c r="H207" s="37"/>
    </row>
    <row r="208" spans="4:8" ht="15.75" customHeight="1">
      <c r="D208" s="37"/>
      <c r="E208" s="37"/>
      <c r="F208" s="37"/>
      <c r="G208" s="37"/>
      <c r="H208" s="37"/>
    </row>
    <row r="209" spans="4:8" ht="15.75" customHeight="1">
      <c r="D209" s="37"/>
      <c r="E209" s="37"/>
      <c r="F209" s="37"/>
      <c r="G209" s="37"/>
      <c r="H209" s="37"/>
    </row>
    <row r="210" spans="4:8" ht="15.75" customHeight="1">
      <c r="D210" s="37"/>
      <c r="E210" s="37"/>
      <c r="F210" s="37"/>
      <c r="G210" s="37"/>
      <c r="H210" s="37"/>
    </row>
    <row r="211" spans="4:8" ht="15.75" customHeight="1">
      <c r="D211" s="37"/>
      <c r="E211" s="37"/>
      <c r="F211" s="37"/>
      <c r="G211" s="37"/>
      <c r="H211" s="37"/>
    </row>
    <row r="212" spans="4:8" ht="15.75" customHeight="1">
      <c r="D212" s="37"/>
      <c r="E212" s="37"/>
      <c r="F212" s="37"/>
      <c r="G212" s="37"/>
      <c r="H212" s="37"/>
    </row>
    <row r="213" spans="4:8" ht="15.75" customHeight="1">
      <c r="D213" s="37"/>
      <c r="E213" s="37"/>
      <c r="F213" s="37"/>
      <c r="G213" s="37"/>
      <c r="H213" s="37"/>
    </row>
    <row r="214" spans="4:8" ht="15.75" customHeight="1">
      <c r="D214" s="37"/>
      <c r="E214" s="37"/>
      <c r="F214" s="37"/>
      <c r="G214" s="37"/>
      <c r="H214" s="37"/>
    </row>
    <row r="215" spans="4:8" ht="15.75" customHeight="1">
      <c r="D215" s="37"/>
      <c r="E215" s="37"/>
      <c r="F215" s="37"/>
      <c r="G215" s="37"/>
      <c r="H215" s="37"/>
    </row>
    <row r="216" spans="4:8" ht="15.75" customHeight="1">
      <c r="D216" s="37"/>
      <c r="E216" s="37"/>
      <c r="F216" s="37"/>
      <c r="G216" s="37"/>
      <c r="H216" s="37"/>
    </row>
    <row r="217" spans="4:8" ht="15.75" customHeight="1">
      <c r="D217" s="37"/>
      <c r="E217" s="37"/>
      <c r="F217" s="37"/>
      <c r="G217" s="37"/>
      <c r="H217" s="37"/>
    </row>
    <row r="218" spans="4:8" ht="15.75" customHeight="1">
      <c r="D218" s="37"/>
      <c r="E218" s="37"/>
      <c r="F218" s="37"/>
      <c r="G218" s="37"/>
      <c r="H218" s="37"/>
    </row>
    <row r="219" spans="4:8" ht="15.75" customHeight="1">
      <c r="D219" s="37"/>
      <c r="E219" s="37"/>
      <c r="F219" s="37"/>
      <c r="G219" s="37"/>
      <c r="H219" s="37"/>
    </row>
    <row r="220" spans="4:8" ht="15.75" customHeight="1">
      <c r="D220" s="37"/>
      <c r="E220" s="37"/>
      <c r="F220" s="37"/>
      <c r="G220" s="37"/>
      <c r="H220" s="37"/>
    </row>
    <row r="221" spans="4:8" ht="15.75" customHeight="1">
      <c r="D221" s="37"/>
      <c r="E221" s="37"/>
      <c r="F221" s="37"/>
      <c r="G221" s="37"/>
      <c r="H221" s="37"/>
    </row>
    <row r="222" spans="4:8" ht="15.75" customHeight="1">
      <c r="D222" s="37"/>
      <c r="E222" s="37"/>
      <c r="F222" s="37"/>
      <c r="G222" s="37"/>
      <c r="H222" s="37"/>
    </row>
    <row r="223" spans="4:8" ht="15.75" customHeight="1">
      <c r="D223" s="37"/>
      <c r="E223" s="37"/>
      <c r="F223" s="37"/>
      <c r="G223" s="37"/>
      <c r="H223" s="37"/>
    </row>
    <row r="224" spans="4:8" ht="15.75" customHeight="1">
      <c r="D224" s="37"/>
      <c r="E224" s="37"/>
      <c r="F224" s="37"/>
      <c r="G224" s="37"/>
      <c r="H224" s="37"/>
    </row>
    <row r="225" spans="4:8" ht="15.75" customHeight="1">
      <c r="D225" s="37"/>
      <c r="E225" s="37"/>
      <c r="F225" s="37"/>
      <c r="G225" s="37"/>
      <c r="H225" s="37"/>
    </row>
    <row r="226" spans="4:8" ht="15.75" customHeight="1">
      <c r="D226" s="37"/>
      <c r="E226" s="37"/>
      <c r="F226" s="37"/>
      <c r="G226" s="37"/>
      <c r="H226" s="37"/>
    </row>
    <row r="227" spans="4:8" ht="15.75" customHeight="1">
      <c r="D227" s="37"/>
      <c r="E227" s="37"/>
      <c r="F227" s="37"/>
      <c r="G227" s="37"/>
      <c r="H227" s="37"/>
    </row>
    <row r="228" spans="4:8" ht="15.75" customHeight="1">
      <c r="D228" s="37"/>
      <c r="E228" s="37"/>
      <c r="F228" s="37"/>
      <c r="G228" s="37"/>
      <c r="H228" s="37"/>
    </row>
    <row r="229" spans="4:8" ht="15.75" customHeight="1">
      <c r="D229" s="37"/>
      <c r="E229" s="37"/>
      <c r="F229" s="37"/>
      <c r="G229" s="37"/>
      <c r="H229" s="37"/>
    </row>
    <row r="230" spans="4:8" ht="15.75" customHeight="1">
      <c r="D230" s="37"/>
      <c r="E230" s="37"/>
      <c r="F230" s="37"/>
      <c r="G230" s="37"/>
      <c r="H230" s="37"/>
    </row>
    <row r="231" spans="4:8" ht="15.75" customHeight="1">
      <c r="D231" s="37"/>
      <c r="E231" s="37"/>
      <c r="F231" s="37"/>
      <c r="G231" s="37"/>
      <c r="H231" s="37"/>
    </row>
    <row r="232" spans="4:8" ht="15.75" customHeight="1">
      <c r="D232" s="37"/>
      <c r="E232" s="37"/>
      <c r="F232" s="37"/>
      <c r="G232" s="37"/>
      <c r="H232" s="37"/>
    </row>
    <row r="233" spans="4:8" ht="15.75" customHeight="1">
      <c r="D233" s="37"/>
      <c r="E233" s="37"/>
      <c r="F233" s="37"/>
      <c r="G233" s="37"/>
      <c r="H233" s="37"/>
    </row>
    <row r="234" spans="4:8" ht="15.75" customHeight="1">
      <c r="D234" s="37"/>
      <c r="E234" s="37"/>
      <c r="F234" s="37"/>
      <c r="G234" s="37"/>
      <c r="H234" s="37"/>
    </row>
    <row r="235" spans="4:8" ht="15.75" customHeight="1">
      <c r="D235" s="37"/>
      <c r="E235" s="37"/>
      <c r="F235" s="37"/>
      <c r="G235" s="37"/>
      <c r="H235" s="37"/>
    </row>
    <row r="236" spans="4:8" ht="15.75" customHeight="1">
      <c r="D236" s="37"/>
      <c r="E236" s="37"/>
      <c r="F236" s="37"/>
      <c r="G236" s="37"/>
      <c r="H236" s="37"/>
    </row>
    <row r="237" spans="4:8" ht="15.75" customHeight="1">
      <c r="D237" s="37"/>
      <c r="E237" s="37"/>
      <c r="F237" s="37"/>
      <c r="G237" s="37"/>
      <c r="H237" s="37"/>
    </row>
    <row r="238" spans="4:8" ht="15.75" customHeight="1">
      <c r="D238" s="37"/>
      <c r="E238" s="37"/>
      <c r="F238" s="37"/>
      <c r="G238" s="37"/>
      <c r="H238" s="37"/>
    </row>
    <row r="239" spans="4:8" ht="15.75" customHeight="1">
      <c r="D239" s="37"/>
      <c r="E239" s="37"/>
      <c r="F239" s="37"/>
      <c r="G239" s="37"/>
      <c r="H239" s="37"/>
    </row>
    <row r="240" spans="4:8" ht="15.75" customHeight="1">
      <c r="D240" s="37"/>
      <c r="E240" s="37"/>
      <c r="F240" s="37"/>
      <c r="G240" s="37"/>
      <c r="H240" s="3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J40" xr:uid="{00000000-0009-0000-0000-000000000000}"/>
  <mergeCells count="16">
    <mergeCell ref="A5:K5"/>
    <mergeCell ref="A6:H6"/>
    <mergeCell ref="A39:J39"/>
    <mergeCell ref="A40:J40"/>
    <mergeCell ref="J3:K3"/>
    <mergeCell ref="I33:J33"/>
    <mergeCell ref="A35:C35"/>
    <mergeCell ref="D35:J35"/>
    <mergeCell ref="A36:J36"/>
    <mergeCell ref="A37:J37"/>
    <mergeCell ref="A38:J38"/>
    <mergeCell ref="A1:B3"/>
    <mergeCell ref="C1:I3"/>
    <mergeCell ref="J1:K1"/>
    <mergeCell ref="J2:K2"/>
    <mergeCell ref="B4:K4"/>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Y1000"/>
  <sheetViews>
    <sheetView workbookViewId="0">
      <selection activeCell="B9" sqref="B9"/>
    </sheetView>
  </sheetViews>
  <sheetFormatPr baseColWidth="10" defaultColWidth="14.42578125" defaultRowHeight="15" customHeight="1"/>
  <cols>
    <col min="1" max="1" width="20" customWidth="1"/>
    <col min="2" max="2" width="12.28515625" customWidth="1"/>
    <col min="3" max="3" width="8.42578125" customWidth="1"/>
    <col min="4" max="4" width="16.28515625" customWidth="1"/>
    <col min="5" max="5" width="16.85546875" customWidth="1"/>
    <col min="6" max="10" width="16.5703125" customWidth="1"/>
    <col min="11" max="11" width="22.140625" customWidth="1"/>
    <col min="12" max="12" width="16.5703125" customWidth="1"/>
  </cols>
  <sheetData>
    <row r="1" spans="1:25" ht="21" customHeight="1">
      <c r="A1" s="127"/>
      <c r="B1" s="129" t="s">
        <v>32</v>
      </c>
      <c r="C1" s="130"/>
      <c r="D1" s="130"/>
      <c r="E1" s="130"/>
      <c r="F1" s="130"/>
      <c r="G1" s="130"/>
      <c r="H1" s="130"/>
      <c r="I1" s="130"/>
      <c r="J1" s="131"/>
      <c r="K1" s="137" t="s">
        <v>33</v>
      </c>
      <c r="L1" s="138"/>
    </row>
    <row r="2" spans="1:25" ht="21" customHeight="1">
      <c r="A2" s="128"/>
      <c r="B2" s="132"/>
      <c r="C2" s="128"/>
      <c r="D2" s="128"/>
      <c r="E2" s="128"/>
      <c r="F2" s="128"/>
      <c r="G2" s="128"/>
      <c r="H2" s="128"/>
      <c r="I2" s="128"/>
      <c r="J2" s="133"/>
      <c r="K2" s="137" t="s">
        <v>34</v>
      </c>
      <c r="L2" s="138"/>
    </row>
    <row r="3" spans="1:25" ht="21" customHeight="1">
      <c r="A3" s="135"/>
      <c r="B3" s="134"/>
      <c r="C3" s="135"/>
      <c r="D3" s="135"/>
      <c r="E3" s="135"/>
      <c r="F3" s="135"/>
      <c r="G3" s="135"/>
      <c r="H3" s="135"/>
      <c r="I3" s="135"/>
      <c r="J3" s="136"/>
      <c r="K3" s="137" t="s">
        <v>35</v>
      </c>
      <c r="L3" s="138"/>
    </row>
    <row r="4" spans="1:25" ht="27.75" customHeight="1">
      <c r="A4" s="1" t="s">
        <v>4</v>
      </c>
      <c r="B4" s="148" t="s">
        <v>5</v>
      </c>
      <c r="C4" s="140"/>
      <c r="D4" s="140"/>
      <c r="E4" s="140"/>
      <c r="F4" s="140"/>
      <c r="G4" s="140"/>
      <c r="H4" s="140"/>
      <c r="I4" s="140"/>
      <c r="J4" s="140"/>
      <c r="K4" s="140"/>
      <c r="L4" s="138"/>
    </row>
    <row r="5" spans="1:25" ht="27.75" customHeight="1">
      <c r="A5" s="141" t="s">
        <v>36</v>
      </c>
      <c r="B5" s="140"/>
      <c r="C5" s="140"/>
      <c r="D5" s="140"/>
      <c r="E5" s="140"/>
      <c r="F5" s="140"/>
      <c r="G5" s="140"/>
      <c r="H5" s="140"/>
      <c r="I5" s="140"/>
      <c r="J5" s="140"/>
      <c r="K5" s="140"/>
      <c r="L5" s="138"/>
    </row>
    <row r="6" spans="1:25" ht="27.75" customHeight="1">
      <c r="A6" s="141" t="s">
        <v>7</v>
      </c>
      <c r="B6" s="140"/>
      <c r="C6" s="140"/>
      <c r="D6" s="140"/>
      <c r="E6" s="140"/>
      <c r="F6" s="140"/>
      <c r="G6" s="140"/>
      <c r="H6" s="140"/>
      <c r="I6" s="140"/>
      <c r="J6" s="138"/>
      <c r="K6" s="38" t="s">
        <v>8</v>
      </c>
      <c r="L6" s="39" t="s">
        <v>37</v>
      </c>
    </row>
    <row r="7" spans="1:25" ht="51" customHeight="1">
      <c r="A7" s="40" t="s">
        <v>11</v>
      </c>
      <c r="B7" s="41" t="s">
        <v>12</v>
      </c>
      <c r="C7" s="40" t="s">
        <v>38</v>
      </c>
      <c r="D7" s="40" t="s">
        <v>39</v>
      </c>
      <c r="E7" s="40" t="s">
        <v>40</v>
      </c>
      <c r="F7" s="40" t="s">
        <v>41</v>
      </c>
      <c r="G7" s="40" t="s">
        <v>42</v>
      </c>
      <c r="H7" s="40" t="s">
        <v>43</v>
      </c>
      <c r="I7" s="40" t="s">
        <v>44</v>
      </c>
      <c r="J7" s="40" t="s">
        <v>45</v>
      </c>
      <c r="K7" s="40" t="s">
        <v>46</v>
      </c>
      <c r="L7" s="40" t="s">
        <v>47</v>
      </c>
      <c r="M7" s="40" t="s">
        <v>48</v>
      </c>
      <c r="N7" s="42"/>
      <c r="O7" s="42"/>
      <c r="P7" s="42"/>
      <c r="Q7" s="42"/>
      <c r="R7" s="42"/>
      <c r="S7" s="42"/>
      <c r="T7" s="42"/>
      <c r="U7" s="42"/>
      <c r="V7" s="42"/>
      <c r="W7" s="42"/>
      <c r="X7" s="42"/>
      <c r="Y7" s="42"/>
    </row>
    <row r="8" spans="1:25">
      <c r="A8" s="8">
        <v>46153</v>
      </c>
      <c r="B8" s="9" t="s">
        <v>24</v>
      </c>
      <c r="C8" s="9">
        <v>1</v>
      </c>
      <c r="D8" s="9" t="s">
        <v>23</v>
      </c>
      <c r="E8" s="9" t="s">
        <v>23</v>
      </c>
      <c r="F8" s="9" t="s">
        <v>23</v>
      </c>
      <c r="G8" s="9" t="s">
        <v>23</v>
      </c>
      <c r="H8" s="9" t="s">
        <v>23</v>
      </c>
      <c r="I8" s="9"/>
      <c r="J8" s="18"/>
      <c r="K8" s="43"/>
      <c r="L8" s="44"/>
      <c r="M8" s="10"/>
    </row>
    <row r="9" spans="1:25" ht="15.75" customHeight="1">
      <c r="A9" s="8">
        <v>46153</v>
      </c>
      <c r="B9" s="9" t="s">
        <v>24</v>
      </c>
      <c r="C9" s="9">
        <v>1</v>
      </c>
      <c r="D9" s="9" t="s">
        <v>23</v>
      </c>
      <c r="E9" s="9" t="s">
        <v>23</v>
      </c>
      <c r="F9" s="9" t="s">
        <v>23</v>
      </c>
      <c r="G9" s="9" t="s">
        <v>23</v>
      </c>
      <c r="H9" s="9" t="s">
        <v>23</v>
      </c>
      <c r="I9" s="9"/>
      <c r="J9" s="18"/>
      <c r="K9" s="10"/>
      <c r="L9" s="10"/>
      <c r="M9" s="45"/>
    </row>
    <row r="10" spans="1:25">
      <c r="A10" s="8"/>
      <c r="B10" s="9"/>
      <c r="C10" s="9"/>
      <c r="D10" s="9"/>
      <c r="E10" s="9"/>
      <c r="F10" s="9"/>
      <c r="G10" s="9"/>
      <c r="H10" s="9"/>
      <c r="I10" s="9"/>
      <c r="J10" s="18"/>
      <c r="K10" s="10"/>
      <c r="L10" s="46"/>
      <c r="M10" s="45"/>
    </row>
    <row r="11" spans="1:25">
      <c r="A11" s="8"/>
      <c r="B11" s="9"/>
      <c r="C11" s="9"/>
      <c r="D11" s="9"/>
      <c r="E11" s="9"/>
      <c r="F11" s="9"/>
      <c r="G11" s="9"/>
      <c r="H11" s="9"/>
      <c r="I11" s="9"/>
      <c r="J11" s="18"/>
      <c r="K11" s="10"/>
      <c r="L11" s="10"/>
      <c r="M11" s="45"/>
    </row>
    <row r="12" spans="1:25">
      <c r="A12" s="8"/>
      <c r="B12" s="9"/>
      <c r="C12" s="9"/>
      <c r="D12" s="9"/>
      <c r="E12" s="9"/>
      <c r="F12" s="9"/>
      <c r="G12" s="9"/>
      <c r="H12" s="9"/>
      <c r="I12" s="18"/>
      <c r="J12" s="14"/>
      <c r="K12" s="10"/>
      <c r="L12" s="10"/>
      <c r="M12" s="9"/>
    </row>
    <row r="13" spans="1:25" ht="14.25" customHeight="1">
      <c r="A13" s="8"/>
      <c r="B13" s="9"/>
      <c r="C13" s="9"/>
      <c r="D13" s="9"/>
      <c r="E13" s="9"/>
      <c r="F13" s="9"/>
      <c r="G13" s="9"/>
      <c r="H13" s="9"/>
      <c r="I13" s="18"/>
      <c r="J13" s="14"/>
      <c r="K13" s="47"/>
      <c r="L13" s="48"/>
      <c r="M13" s="9"/>
    </row>
    <row r="14" spans="1:25" ht="14.25" customHeight="1">
      <c r="A14" s="49"/>
      <c r="B14" s="9"/>
      <c r="C14" s="18"/>
      <c r="D14" s="18"/>
      <c r="E14" s="18"/>
      <c r="F14" s="18"/>
      <c r="G14" s="18"/>
      <c r="H14" s="18"/>
      <c r="I14" s="18"/>
      <c r="J14" s="14"/>
      <c r="K14" s="47"/>
      <c r="L14" s="48"/>
      <c r="M14" s="9"/>
    </row>
    <row r="15" spans="1:25" ht="14.25" customHeight="1">
      <c r="A15" s="8"/>
      <c r="B15" s="9"/>
      <c r="C15" s="9"/>
      <c r="D15" s="9"/>
      <c r="E15" s="9"/>
      <c r="F15" s="9"/>
      <c r="G15" s="9"/>
      <c r="H15" s="9"/>
      <c r="I15" s="9"/>
      <c r="J15" s="14"/>
      <c r="K15" s="50"/>
      <c r="L15" s="48"/>
      <c r="M15" s="9"/>
    </row>
    <row r="16" spans="1:25" ht="14.25" customHeight="1">
      <c r="A16" s="8"/>
      <c r="B16" s="9"/>
      <c r="C16" s="9"/>
      <c r="D16" s="9"/>
      <c r="E16" s="9"/>
      <c r="F16" s="9"/>
      <c r="G16" s="9"/>
      <c r="H16" s="9"/>
      <c r="I16" s="9"/>
      <c r="J16" s="14"/>
      <c r="K16" s="50"/>
      <c r="L16" s="48"/>
      <c r="M16" s="9"/>
    </row>
    <row r="17" spans="1:13" ht="14.25" customHeight="1">
      <c r="A17" s="8"/>
      <c r="B17" s="9"/>
      <c r="C17" s="51"/>
      <c r="D17" s="9"/>
      <c r="E17" s="9"/>
      <c r="F17" s="9"/>
      <c r="G17" s="9"/>
      <c r="H17" s="9"/>
      <c r="I17" s="9"/>
      <c r="J17" s="18"/>
      <c r="K17" s="50"/>
      <c r="L17" s="48"/>
      <c r="M17" s="9"/>
    </row>
    <row r="18" spans="1:13" ht="14.25" customHeight="1">
      <c r="A18" s="8"/>
      <c r="B18" s="9"/>
      <c r="C18" s="52"/>
      <c r="D18" s="9"/>
      <c r="E18" s="9"/>
      <c r="F18" s="9"/>
      <c r="G18" s="9"/>
      <c r="H18" s="9"/>
      <c r="I18" s="9"/>
      <c r="J18" s="18"/>
      <c r="K18" s="9"/>
      <c r="L18" s="53"/>
      <c r="M18" s="9"/>
    </row>
    <row r="19" spans="1:13" ht="14.25" customHeight="1">
      <c r="A19" s="8"/>
      <c r="B19" s="9"/>
      <c r="C19" s="52"/>
      <c r="D19" s="9"/>
      <c r="E19" s="9"/>
      <c r="F19" s="9"/>
      <c r="G19" s="9"/>
      <c r="H19" s="9"/>
      <c r="I19" s="9"/>
      <c r="J19" s="18"/>
      <c r="K19" s="9"/>
      <c r="L19" s="53"/>
      <c r="M19" s="9"/>
    </row>
    <row r="20" spans="1:13" ht="14.25" customHeight="1">
      <c r="A20" s="54"/>
      <c r="B20" s="9"/>
      <c r="C20" s="52"/>
      <c r="D20" s="9"/>
      <c r="E20" s="9"/>
      <c r="F20" s="9"/>
      <c r="G20" s="9"/>
      <c r="H20" s="9"/>
      <c r="I20" s="9"/>
      <c r="J20" s="18"/>
      <c r="K20" s="9"/>
      <c r="L20" s="53"/>
      <c r="M20" s="9"/>
    </row>
    <row r="21" spans="1:13" ht="14.25" customHeight="1">
      <c r="A21" s="54"/>
      <c r="B21" s="9"/>
      <c r="C21" s="52"/>
      <c r="D21" s="9"/>
      <c r="E21" s="9"/>
      <c r="F21" s="9"/>
      <c r="G21" s="9"/>
      <c r="H21" s="9"/>
      <c r="I21" s="9"/>
      <c r="J21" s="18"/>
      <c r="K21" s="9"/>
      <c r="L21" s="53"/>
      <c r="M21" s="9"/>
    </row>
    <row r="22" spans="1:13" ht="14.25" customHeight="1">
      <c r="A22" s="54"/>
      <c r="B22" s="10"/>
      <c r="C22" s="51"/>
      <c r="D22" s="22"/>
      <c r="E22" s="22"/>
      <c r="F22" s="22"/>
      <c r="G22" s="22"/>
      <c r="H22" s="22"/>
      <c r="I22" s="22"/>
      <c r="J22" s="18"/>
      <c r="K22" s="9"/>
      <c r="L22" s="53"/>
      <c r="M22" s="9"/>
    </row>
    <row r="23" spans="1:13" ht="14.25" customHeight="1">
      <c r="A23" s="54"/>
      <c r="B23" s="10"/>
      <c r="C23" s="52"/>
      <c r="D23" s="22"/>
      <c r="E23" s="22"/>
      <c r="F23" s="22"/>
      <c r="G23" s="22"/>
      <c r="H23" s="22"/>
      <c r="I23" s="22"/>
      <c r="J23" s="18"/>
      <c r="K23" s="9"/>
      <c r="L23" s="53"/>
      <c r="M23" s="9"/>
    </row>
    <row r="24" spans="1:13" ht="14.25" customHeight="1">
      <c r="A24" s="54"/>
      <c r="B24" s="10"/>
      <c r="C24" s="52"/>
      <c r="D24" s="22"/>
      <c r="E24" s="22"/>
      <c r="F24" s="22"/>
      <c r="G24" s="22"/>
      <c r="H24" s="22"/>
      <c r="I24" s="22"/>
      <c r="J24" s="18"/>
      <c r="K24" s="9"/>
      <c r="L24" s="53"/>
      <c r="M24" s="9"/>
    </row>
    <row r="25" spans="1:13" ht="14.25" customHeight="1">
      <c r="A25" s="54"/>
      <c r="B25" s="10"/>
      <c r="C25" s="52"/>
      <c r="D25" s="22"/>
      <c r="E25" s="22"/>
      <c r="F25" s="22"/>
      <c r="G25" s="22"/>
      <c r="H25" s="22"/>
      <c r="I25" s="22"/>
      <c r="J25" s="18"/>
      <c r="K25" s="9"/>
      <c r="L25" s="53"/>
      <c r="M25" s="9"/>
    </row>
    <row r="26" spans="1:13" ht="15.75" customHeight="1">
      <c r="A26" s="54"/>
      <c r="B26" s="10"/>
      <c r="C26" s="52"/>
      <c r="D26" s="22"/>
      <c r="E26" s="22"/>
      <c r="F26" s="22"/>
      <c r="G26" s="22"/>
      <c r="H26" s="22"/>
      <c r="I26" s="22"/>
      <c r="J26" s="18"/>
      <c r="K26" s="9"/>
      <c r="L26" s="53"/>
      <c r="M26" s="9"/>
    </row>
    <row r="27" spans="1:13" ht="15.75" customHeight="1">
      <c r="A27" s="54"/>
      <c r="B27" s="10"/>
      <c r="C27" s="51"/>
      <c r="D27" s="22"/>
      <c r="E27" s="22"/>
      <c r="F27" s="22"/>
      <c r="G27" s="22"/>
      <c r="H27" s="22"/>
      <c r="I27" s="22"/>
      <c r="J27" s="18"/>
      <c r="K27" s="9"/>
      <c r="L27" s="53"/>
      <c r="M27" s="9"/>
    </row>
    <row r="28" spans="1:13" ht="15.75" customHeight="1">
      <c r="A28" s="54"/>
      <c r="B28" s="10"/>
      <c r="C28" s="52"/>
      <c r="D28" s="22"/>
      <c r="E28" s="22"/>
      <c r="F28" s="22"/>
      <c r="G28" s="22"/>
      <c r="H28" s="22"/>
      <c r="I28" s="22"/>
      <c r="J28" s="18"/>
      <c r="K28" s="9"/>
      <c r="L28" s="53"/>
      <c r="M28" s="9"/>
    </row>
    <row r="29" spans="1:13" ht="15.75" customHeight="1">
      <c r="A29" s="24"/>
      <c r="B29" s="55"/>
      <c r="C29" s="51"/>
      <c r="D29" s="22"/>
      <c r="E29" s="22"/>
      <c r="F29" s="22"/>
      <c r="G29" s="22"/>
      <c r="H29" s="56"/>
      <c r="I29" s="9"/>
      <c r="J29" s="18"/>
      <c r="K29" s="9"/>
      <c r="L29" s="53"/>
      <c r="M29" s="9"/>
    </row>
    <row r="30" spans="1:13" ht="15.75" customHeight="1">
      <c r="A30" s="24"/>
      <c r="B30" s="20"/>
      <c r="C30" s="51"/>
      <c r="D30" s="22"/>
      <c r="E30" s="22"/>
      <c r="F30" s="22"/>
      <c r="G30" s="22"/>
      <c r="H30" s="56"/>
      <c r="I30" s="9"/>
      <c r="J30" s="18"/>
      <c r="K30" s="9"/>
      <c r="L30" s="57"/>
      <c r="M30" s="9"/>
    </row>
    <row r="31" spans="1:13" ht="15.75" customHeight="1">
      <c r="A31" s="58"/>
      <c r="B31" s="9"/>
      <c r="C31" s="59"/>
      <c r="D31" s="53"/>
      <c r="E31" s="53"/>
      <c r="F31" s="53"/>
      <c r="G31" s="53"/>
      <c r="H31" s="53"/>
      <c r="I31" s="53"/>
      <c r="J31" s="18"/>
      <c r="K31" s="53"/>
      <c r="L31" s="53"/>
      <c r="M31" s="9"/>
    </row>
    <row r="32" spans="1:13" ht="15.75" customHeight="1">
      <c r="A32" s="9"/>
      <c r="B32" s="9"/>
      <c r="C32" s="59"/>
      <c r="D32" s="53"/>
      <c r="E32" s="53"/>
      <c r="F32" s="53"/>
      <c r="G32" s="53"/>
      <c r="H32" s="53"/>
      <c r="I32" s="53"/>
      <c r="J32" s="18"/>
      <c r="K32" s="53"/>
      <c r="L32" s="53"/>
      <c r="M32" s="9"/>
    </row>
    <row r="33" spans="1:12" ht="15.75" customHeight="1">
      <c r="A33" s="150">
        <f>SUM(C8:C32)</f>
        <v>2</v>
      </c>
      <c r="B33" s="130"/>
      <c r="C33" s="131"/>
      <c r="D33" s="60">
        <f t="shared" ref="D33:I33" si="0">(COUNTIF(D8:D32,"SI")*1+COUNTIF(D8:D32,"NO")*0+COUNTIF(D8:D32,"NA")*0)</f>
        <v>2</v>
      </c>
      <c r="E33" s="60">
        <f t="shared" si="0"/>
        <v>2</v>
      </c>
      <c r="F33" s="60">
        <f t="shared" si="0"/>
        <v>2</v>
      </c>
      <c r="G33" s="60">
        <f t="shared" si="0"/>
        <v>2</v>
      </c>
      <c r="H33" s="60">
        <f t="shared" si="0"/>
        <v>2</v>
      </c>
      <c r="I33" s="60">
        <f t="shared" si="0"/>
        <v>0</v>
      </c>
      <c r="J33" s="151"/>
      <c r="K33" s="130"/>
      <c r="L33" s="131"/>
    </row>
    <row r="34" spans="1:12" ht="15.75" customHeight="1">
      <c r="A34" s="134"/>
      <c r="B34" s="135"/>
      <c r="C34" s="136"/>
      <c r="D34" s="61">
        <f>(D33/A33)*100</f>
        <v>100</v>
      </c>
      <c r="E34" s="61">
        <f>(E33/A33)*100</f>
        <v>100</v>
      </c>
      <c r="F34" s="61">
        <f>(F33/A33)*100</f>
        <v>100</v>
      </c>
      <c r="G34" s="61">
        <f>(G33/A33)*100</f>
        <v>100</v>
      </c>
      <c r="H34" s="61">
        <f>(H33/A33)*100</f>
        <v>100</v>
      </c>
      <c r="I34" s="61">
        <f>(I33/A33)*100</f>
        <v>0</v>
      </c>
      <c r="J34" s="132"/>
      <c r="K34" s="128"/>
      <c r="L34" s="133"/>
    </row>
    <row r="35" spans="1:12" ht="36" customHeight="1">
      <c r="A35" s="152" t="s">
        <v>26</v>
      </c>
      <c r="B35" s="140"/>
      <c r="C35" s="138"/>
      <c r="D35" s="153">
        <f>SUM(D34+E34+F34+G34+H34+I34)/6</f>
        <v>83.333333333333329</v>
      </c>
      <c r="E35" s="140"/>
      <c r="F35" s="140"/>
      <c r="G35" s="140"/>
      <c r="H35" s="140"/>
      <c r="I35" s="138"/>
      <c r="J35" s="134"/>
      <c r="K35" s="135"/>
      <c r="L35" s="136"/>
    </row>
    <row r="36" spans="1:12" ht="16.5" customHeight="1">
      <c r="A36" s="149" t="s">
        <v>49</v>
      </c>
      <c r="B36" s="140"/>
      <c r="C36" s="140"/>
      <c r="D36" s="140"/>
      <c r="E36" s="140"/>
      <c r="F36" s="140"/>
      <c r="G36" s="140"/>
      <c r="H36" s="140"/>
      <c r="I36" s="140"/>
      <c r="J36" s="140"/>
      <c r="K36" s="140"/>
      <c r="L36" s="138"/>
    </row>
    <row r="37" spans="1:12" ht="15.75" customHeight="1">
      <c r="A37" s="147" t="s">
        <v>50</v>
      </c>
      <c r="B37" s="140"/>
      <c r="C37" s="140"/>
      <c r="D37" s="140"/>
      <c r="E37" s="140"/>
      <c r="F37" s="140"/>
      <c r="G37" s="140"/>
      <c r="H37" s="140"/>
      <c r="I37" s="140"/>
      <c r="J37" s="140"/>
      <c r="K37" s="140"/>
      <c r="L37" s="138"/>
    </row>
    <row r="38" spans="1:12" ht="15.75" customHeight="1">
      <c r="A38" s="142" t="s">
        <v>51</v>
      </c>
      <c r="B38" s="140"/>
      <c r="C38" s="140"/>
      <c r="D38" s="140"/>
      <c r="E38" s="140"/>
      <c r="F38" s="140"/>
      <c r="G38" s="140"/>
      <c r="H38" s="140"/>
      <c r="I38" s="140"/>
      <c r="J38" s="140"/>
      <c r="K38" s="140"/>
      <c r="L38" s="138"/>
    </row>
    <row r="39" spans="1:12" ht="15.75" customHeight="1">
      <c r="A39" s="149" t="s">
        <v>52</v>
      </c>
      <c r="B39" s="140"/>
      <c r="C39" s="140"/>
      <c r="D39" s="140"/>
      <c r="E39" s="140"/>
      <c r="F39" s="140"/>
      <c r="G39" s="140"/>
      <c r="H39" s="140"/>
      <c r="I39" s="140"/>
      <c r="J39" s="140"/>
      <c r="K39" s="140"/>
      <c r="L39" s="138"/>
    </row>
    <row r="40" spans="1:12" ht="15.75" customHeight="1">
      <c r="A40" s="149" t="s">
        <v>53</v>
      </c>
      <c r="B40" s="140"/>
      <c r="C40" s="140"/>
      <c r="D40" s="140"/>
      <c r="E40" s="140"/>
      <c r="F40" s="140"/>
      <c r="G40" s="140"/>
      <c r="H40" s="140"/>
      <c r="I40" s="140"/>
      <c r="J40" s="140"/>
      <c r="K40" s="140"/>
      <c r="L40" s="138"/>
    </row>
    <row r="41" spans="1:12" ht="15.75" customHeight="1">
      <c r="A41" s="149" t="s">
        <v>54</v>
      </c>
      <c r="B41" s="140"/>
      <c r="C41" s="140"/>
      <c r="D41" s="140"/>
      <c r="E41" s="140"/>
      <c r="F41" s="140"/>
      <c r="G41" s="140"/>
      <c r="H41" s="140"/>
      <c r="I41" s="140"/>
      <c r="J41" s="140"/>
      <c r="K41" s="140"/>
      <c r="L41" s="138"/>
    </row>
    <row r="42" spans="1:12" ht="15.75" customHeight="1">
      <c r="D42" s="37"/>
      <c r="E42" s="37"/>
      <c r="F42" s="37"/>
      <c r="G42" s="37"/>
      <c r="H42" s="37"/>
      <c r="I42" s="37"/>
      <c r="J42" s="37"/>
      <c r="K42" s="37"/>
      <c r="L42" s="37"/>
    </row>
    <row r="43" spans="1:12" ht="15.75" customHeight="1">
      <c r="D43" s="37"/>
      <c r="E43" s="37"/>
      <c r="F43" s="37"/>
      <c r="G43" s="37"/>
      <c r="H43" s="37"/>
      <c r="I43" s="37"/>
      <c r="J43" s="37"/>
      <c r="K43" s="37"/>
      <c r="L43" s="37"/>
    </row>
    <row r="44" spans="1:12" ht="15.75" customHeight="1">
      <c r="D44" s="37"/>
      <c r="E44" s="37"/>
      <c r="F44" s="37"/>
      <c r="G44" s="37"/>
      <c r="H44" s="37"/>
      <c r="I44" s="37"/>
      <c r="J44" s="37"/>
      <c r="K44" s="37"/>
      <c r="L44" s="37"/>
    </row>
    <row r="45" spans="1:12" ht="15.75" customHeight="1">
      <c r="D45" s="37"/>
      <c r="E45" s="37"/>
      <c r="F45" s="37"/>
      <c r="G45" s="37"/>
      <c r="H45" s="37"/>
      <c r="I45" s="37"/>
      <c r="J45" s="37"/>
      <c r="K45" s="37"/>
      <c r="L45" s="37"/>
    </row>
    <row r="46" spans="1:12" ht="15.75" customHeight="1">
      <c r="D46" s="37"/>
      <c r="E46" s="37"/>
      <c r="F46" s="37"/>
      <c r="G46" s="37"/>
      <c r="H46" s="37"/>
      <c r="I46" s="37"/>
      <c r="J46" s="37"/>
      <c r="K46" s="37"/>
      <c r="L46" s="37"/>
    </row>
    <row r="47" spans="1:12" ht="15.75" customHeight="1">
      <c r="D47" s="37"/>
      <c r="E47" s="37"/>
      <c r="F47" s="37"/>
      <c r="G47" s="37"/>
      <c r="H47" s="37"/>
      <c r="I47" s="37"/>
      <c r="J47" s="37"/>
      <c r="K47" s="37"/>
      <c r="L47" s="37"/>
    </row>
    <row r="48" spans="1:12" ht="15.75" customHeight="1">
      <c r="D48" s="37"/>
      <c r="E48" s="37"/>
      <c r="F48" s="37"/>
      <c r="G48" s="37"/>
      <c r="H48" s="37"/>
      <c r="I48" s="37"/>
      <c r="J48" s="37"/>
      <c r="K48" s="37"/>
      <c r="L48" s="37"/>
    </row>
    <row r="49" spans="4:12" ht="15.75" customHeight="1">
      <c r="D49" s="37"/>
      <c r="E49" s="37"/>
      <c r="F49" s="37"/>
      <c r="G49" s="37"/>
      <c r="H49" s="37"/>
      <c r="I49" s="37"/>
      <c r="J49" s="37"/>
      <c r="K49" s="37"/>
      <c r="L49" s="37"/>
    </row>
    <row r="50" spans="4:12" ht="15.75" customHeight="1">
      <c r="D50" s="37"/>
      <c r="E50" s="37"/>
      <c r="F50" s="37"/>
      <c r="G50" s="37"/>
      <c r="H50" s="37"/>
      <c r="I50" s="37"/>
      <c r="J50" s="37"/>
      <c r="K50" s="37"/>
      <c r="L50" s="37"/>
    </row>
    <row r="51" spans="4:12" ht="15.75" customHeight="1">
      <c r="D51" s="37"/>
      <c r="E51" s="37"/>
      <c r="F51" s="37"/>
      <c r="G51" s="37"/>
      <c r="H51" s="37"/>
      <c r="I51" s="37"/>
      <c r="J51" s="37"/>
      <c r="K51" s="37"/>
      <c r="L51" s="37"/>
    </row>
    <row r="52" spans="4:12" ht="15.75" customHeight="1">
      <c r="D52" s="37"/>
      <c r="E52" s="37"/>
      <c r="F52" s="37"/>
      <c r="G52" s="37"/>
      <c r="H52" s="37"/>
      <c r="I52" s="37"/>
      <c r="J52" s="37"/>
      <c r="K52" s="37"/>
      <c r="L52" s="37"/>
    </row>
    <row r="53" spans="4:12" ht="15.75" customHeight="1">
      <c r="D53" s="37"/>
      <c r="E53" s="37"/>
      <c r="F53" s="37"/>
      <c r="G53" s="37"/>
      <c r="H53" s="37"/>
      <c r="I53" s="37"/>
      <c r="J53" s="37"/>
      <c r="K53" s="37"/>
      <c r="L53" s="37"/>
    </row>
    <row r="54" spans="4:12" ht="15.75" customHeight="1">
      <c r="D54" s="37"/>
      <c r="E54" s="37"/>
      <c r="F54" s="37"/>
      <c r="G54" s="37"/>
      <c r="H54" s="37"/>
      <c r="I54" s="37"/>
      <c r="J54" s="37"/>
      <c r="K54" s="37"/>
      <c r="L54" s="37"/>
    </row>
    <row r="55" spans="4:12" ht="15.75" customHeight="1">
      <c r="D55" s="37"/>
      <c r="E55" s="37"/>
      <c r="F55" s="37"/>
      <c r="G55" s="37"/>
      <c r="H55" s="37"/>
      <c r="I55" s="37"/>
      <c r="J55" s="37"/>
      <c r="K55" s="37"/>
      <c r="L55" s="37"/>
    </row>
    <row r="56" spans="4:12" ht="15.75" customHeight="1">
      <c r="D56" s="37"/>
      <c r="E56" s="37"/>
      <c r="F56" s="37"/>
      <c r="G56" s="37"/>
      <c r="H56" s="37"/>
      <c r="I56" s="37"/>
      <c r="J56" s="37"/>
      <c r="K56" s="37"/>
      <c r="L56" s="37"/>
    </row>
    <row r="57" spans="4:12" ht="15.75" customHeight="1">
      <c r="D57" s="37"/>
      <c r="E57" s="37"/>
      <c r="F57" s="37"/>
      <c r="G57" s="37"/>
      <c r="H57" s="37"/>
      <c r="I57" s="37"/>
      <c r="J57" s="37"/>
      <c r="K57" s="37"/>
      <c r="L57" s="37"/>
    </row>
    <row r="58" spans="4:12" ht="15.75" customHeight="1">
      <c r="D58" s="37"/>
      <c r="E58" s="37"/>
      <c r="F58" s="37"/>
      <c r="G58" s="37"/>
      <c r="H58" s="37"/>
      <c r="I58" s="37"/>
      <c r="J58" s="37"/>
      <c r="K58" s="37"/>
      <c r="L58" s="37"/>
    </row>
    <row r="59" spans="4:12" ht="15.75" customHeight="1">
      <c r="D59" s="37"/>
      <c r="E59" s="37"/>
      <c r="F59" s="37"/>
      <c r="G59" s="37"/>
      <c r="H59" s="37"/>
      <c r="I59" s="37"/>
      <c r="J59" s="37"/>
      <c r="K59" s="37"/>
      <c r="L59" s="37"/>
    </row>
    <row r="60" spans="4:12" ht="15.75" customHeight="1">
      <c r="D60" s="37"/>
      <c r="E60" s="37"/>
      <c r="F60" s="37"/>
      <c r="G60" s="37"/>
      <c r="H60" s="37"/>
      <c r="I60" s="37"/>
      <c r="J60" s="37"/>
      <c r="K60" s="37"/>
      <c r="L60" s="37"/>
    </row>
    <row r="61" spans="4:12" ht="15.75" customHeight="1">
      <c r="D61" s="37"/>
      <c r="E61" s="37"/>
      <c r="F61" s="37"/>
      <c r="G61" s="37"/>
      <c r="H61" s="37"/>
      <c r="I61" s="37"/>
      <c r="J61" s="37"/>
      <c r="K61" s="37"/>
      <c r="L61" s="37"/>
    </row>
    <row r="62" spans="4:12" ht="15.75" customHeight="1">
      <c r="D62" s="37"/>
      <c r="E62" s="37"/>
      <c r="F62" s="37"/>
      <c r="G62" s="37"/>
      <c r="H62" s="37"/>
      <c r="I62" s="37"/>
      <c r="J62" s="37"/>
      <c r="K62" s="37"/>
      <c r="L62" s="37"/>
    </row>
    <row r="63" spans="4:12" ht="15.75" customHeight="1">
      <c r="D63" s="37"/>
      <c r="E63" s="37"/>
      <c r="F63" s="37"/>
      <c r="G63" s="37"/>
      <c r="H63" s="37"/>
      <c r="I63" s="37"/>
      <c r="J63" s="37"/>
      <c r="K63" s="37"/>
      <c r="L63" s="37"/>
    </row>
    <row r="64" spans="4:12" ht="15.75" customHeight="1">
      <c r="D64" s="37"/>
      <c r="E64" s="37"/>
      <c r="F64" s="37"/>
      <c r="G64" s="37"/>
      <c r="H64" s="37"/>
      <c r="I64" s="37"/>
      <c r="J64" s="37"/>
      <c r="K64" s="37"/>
      <c r="L64" s="37"/>
    </row>
    <row r="65" spans="4:12" ht="15.75" customHeight="1">
      <c r="D65" s="37"/>
      <c r="E65" s="37"/>
      <c r="F65" s="37"/>
      <c r="G65" s="37"/>
      <c r="H65" s="37"/>
      <c r="I65" s="37"/>
      <c r="J65" s="37"/>
      <c r="K65" s="37"/>
      <c r="L65" s="37"/>
    </row>
    <row r="66" spans="4:12" ht="15.75" customHeight="1">
      <c r="D66" s="37"/>
      <c r="E66" s="37"/>
      <c r="F66" s="37"/>
      <c r="G66" s="37"/>
      <c r="H66" s="37"/>
      <c r="I66" s="37"/>
      <c r="J66" s="37"/>
      <c r="K66" s="37"/>
      <c r="L66" s="37"/>
    </row>
    <row r="67" spans="4:12" ht="15.75" customHeight="1">
      <c r="D67" s="37"/>
      <c r="E67" s="37"/>
      <c r="F67" s="37"/>
      <c r="G67" s="37"/>
      <c r="H67" s="37"/>
      <c r="I67" s="37"/>
      <c r="J67" s="37"/>
      <c r="K67" s="37"/>
      <c r="L67" s="37"/>
    </row>
    <row r="68" spans="4:12" ht="15.75" customHeight="1">
      <c r="D68" s="37"/>
      <c r="E68" s="37"/>
      <c r="F68" s="37"/>
      <c r="G68" s="37"/>
      <c r="H68" s="37"/>
      <c r="I68" s="37"/>
      <c r="J68" s="37"/>
      <c r="K68" s="37"/>
      <c r="L68" s="37"/>
    </row>
    <row r="69" spans="4:12" ht="15.75" customHeight="1">
      <c r="D69" s="37"/>
      <c r="E69" s="37"/>
      <c r="F69" s="37"/>
      <c r="G69" s="37"/>
      <c r="H69" s="37"/>
      <c r="I69" s="37"/>
      <c r="J69" s="37"/>
      <c r="K69" s="37"/>
      <c r="L69" s="37"/>
    </row>
    <row r="70" spans="4:12" ht="15.75" customHeight="1">
      <c r="D70" s="37"/>
      <c r="E70" s="37"/>
      <c r="F70" s="37"/>
      <c r="G70" s="37"/>
      <c r="H70" s="37"/>
      <c r="I70" s="37"/>
      <c r="J70" s="37"/>
      <c r="K70" s="37"/>
      <c r="L70" s="37"/>
    </row>
    <row r="71" spans="4:12" ht="15.75" customHeight="1">
      <c r="D71" s="37"/>
      <c r="E71" s="37"/>
      <c r="F71" s="37"/>
      <c r="G71" s="37"/>
      <c r="H71" s="37"/>
      <c r="I71" s="37"/>
      <c r="J71" s="37"/>
      <c r="K71" s="37"/>
      <c r="L71" s="37"/>
    </row>
    <row r="72" spans="4:12" ht="15.75" customHeight="1">
      <c r="D72" s="37"/>
      <c r="E72" s="37"/>
      <c r="F72" s="37"/>
      <c r="G72" s="37"/>
      <c r="H72" s="37"/>
      <c r="I72" s="37"/>
      <c r="J72" s="37"/>
      <c r="K72" s="37"/>
      <c r="L72" s="37"/>
    </row>
    <row r="73" spans="4:12" ht="15.75" customHeight="1">
      <c r="D73" s="37"/>
      <c r="E73" s="37"/>
      <c r="F73" s="37"/>
      <c r="G73" s="37"/>
      <c r="H73" s="37"/>
      <c r="I73" s="37"/>
      <c r="J73" s="37"/>
      <c r="K73" s="37"/>
      <c r="L73" s="37"/>
    </row>
    <row r="74" spans="4:12" ht="15.75" customHeight="1">
      <c r="D74" s="37"/>
      <c r="E74" s="37"/>
      <c r="F74" s="37"/>
      <c r="G74" s="37"/>
      <c r="H74" s="37"/>
      <c r="I74" s="37"/>
      <c r="J74" s="37"/>
      <c r="K74" s="37"/>
      <c r="L74" s="37"/>
    </row>
    <row r="75" spans="4:12" ht="15.75" customHeight="1">
      <c r="D75" s="37"/>
      <c r="E75" s="37"/>
      <c r="F75" s="37"/>
      <c r="G75" s="37"/>
      <c r="H75" s="37"/>
      <c r="I75" s="37"/>
      <c r="J75" s="37"/>
      <c r="K75" s="37"/>
      <c r="L75" s="37"/>
    </row>
    <row r="76" spans="4:12" ht="15.75" customHeight="1">
      <c r="D76" s="37"/>
      <c r="E76" s="37"/>
      <c r="F76" s="37"/>
      <c r="G76" s="37"/>
      <c r="H76" s="37"/>
      <c r="I76" s="37"/>
      <c r="J76" s="37"/>
      <c r="K76" s="37"/>
      <c r="L76" s="37"/>
    </row>
    <row r="77" spans="4:12" ht="15.75" customHeight="1">
      <c r="D77" s="37"/>
      <c r="E77" s="37"/>
      <c r="F77" s="37"/>
      <c r="G77" s="37"/>
      <c r="H77" s="37"/>
      <c r="I77" s="37"/>
      <c r="J77" s="37"/>
      <c r="K77" s="37"/>
      <c r="L77" s="37"/>
    </row>
    <row r="78" spans="4:12" ht="15.75" customHeight="1">
      <c r="D78" s="37"/>
      <c r="E78" s="37"/>
      <c r="F78" s="37"/>
      <c r="G78" s="37"/>
      <c r="H78" s="37"/>
      <c r="I78" s="37"/>
      <c r="J78" s="37"/>
      <c r="K78" s="37"/>
      <c r="L78" s="37"/>
    </row>
    <row r="79" spans="4:12" ht="15.75" customHeight="1">
      <c r="D79" s="37"/>
      <c r="E79" s="37"/>
      <c r="F79" s="37"/>
      <c r="G79" s="37"/>
      <c r="H79" s="37"/>
      <c r="I79" s="37"/>
      <c r="J79" s="37"/>
      <c r="K79" s="37"/>
      <c r="L79" s="37"/>
    </row>
    <row r="80" spans="4:12" ht="15.75" customHeight="1">
      <c r="D80" s="37"/>
      <c r="E80" s="37"/>
      <c r="F80" s="37"/>
      <c r="G80" s="37"/>
      <c r="H80" s="37"/>
      <c r="I80" s="37"/>
      <c r="J80" s="37"/>
      <c r="K80" s="37"/>
      <c r="L80" s="37"/>
    </row>
    <row r="81" spans="4:12" ht="15.75" customHeight="1">
      <c r="D81" s="37"/>
      <c r="E81" s="37"/>
      <c r="F81" s="37"/>
      <c r="G81" s="37"/>
      <c r="H81" s="37"/>
      <c r="I81" s="37"/>
      <c r="J81" s="37"/>
      <c r="K81" s="37"/>
      <c r="L81" s="37"/>
    </row>
    <row r="82" spans="4:12" ht="15.75" customHeight="1">
      <c r="D82" s="37"/>
      <c r="E82" s="37"/>
      <c r="F82" s="37"/>
      <c r="G82" s="37"/>
      <c r="H82" s="37"/>
      <c r="I82" s="37"/>
      <c r="J82" s="37"/>
      <c r="K82" s="37"/>
      <c r="L82" s="37"/>
    </row>
    <row r="83" spans="4:12" ht="15.75" customHeight="1">
      <c r="D83" s="37"/>
      <c r="E83" s="37"/>
      <c r="F83" s="37"/>
      <c r="G83" s="37"/>
      <c r="H83" s="37"/>
      <c r="I83" s="37"/>
      <c r="J83" s="37"/>
      <c r="K83" s="37"/>
      <c r="L83" s="37"/>
    </row>
    <row r="84" spans="4:12" ht="15.75" customHeight="1">
      <c r="D84" s="37"/>
      <c r="E84" s="37"/>
      <c r="F84" s="37"/>
      <c r="G84" s="37"/>
      <c r="H84" s="37"/>
      <c r="I84" s="37"/>
      <c r="J84" s="37"/>
      <c r="K84" s="37"/>
      <c r="L84" s="37"/>
    </row>
    <row r="85" spans="4:12" ht="15.75" customHeight="1">
      <c r="D85" s="37"/>
      <c r="E85" s="37"/>
      <c r="F85" s="37"/>
      <c r="G85" s="37"/>
      <c r="H85" s="37"/>
      <c r="I85" s="37"/>
      <c r="J85" s="37"/>
      <c r="K85" s="37"/>
      <c r="L85" s="37"/>
    </row>
    <row r="86" spans="4:12" ht="15.75" customHeight="1">
      <c r="D86" s="37"/>
      <c r="E86" s="37"/>
      <c r="F86" s="37"/>
      <c r="G86" s="37"/>
      <c r="H86" s="37"/>
      <c r="I86" s="37"/>
      <c r="J86" s="37"/>
      <c r="K86" s="37"/>
      <c r="L86" s="37"/>
    </row>
    <row r="87" spans="4:12" ht="15.75" customHeight="1">
      <c r="D87" s="37"/>
      <c r="E87" s="37"/>
      <c r="F87" s="37"/>
      <c r="G87" s="37"/>
      <c r="H87" s="37"/>
      <c r="I87" s="37"/>
      <c r="J87" s="37"/>
      <c r="K87" s="37"/>
      <c r="L87" s="37"/>
    </row>
    <row r="88" spans="4:12" ht="15.75" customHeight="1">
      <c r="D88" s="37"/>
      <c r="E88" s="37"/>
      <c r="F88" s="37"/>
      <c r="G88" s="37"/>
      <c r="H88" s="37"/>
      <c r="I88" s="37"/>
      <c r="J88" s="37"/>
      <c r="K88" s="37"/>
      <c r="L88" s="37"/>
    </row>
    <row r="89" spans="4:12" ht="15.75" customHeight="1">
      <c r="D89" s="37"/>
      <c r="E89" s="37"/>
      <c r="F89" s="37"/>
      <c r="G89" s="37"/>
      <c r="H89" s="37"/>
      <c r="I89" s="37"/>
      <c r="J89" s="37"/>
      <c r="K89" s="37"/>
      <c r="L89" s="37"/>
    </row>
    <row r="90" spans="4:12" ht="15.75" customHeight="1">
      <c r="D90" s="37"/>
      <c r="E90" s="37"/>
      <c r="F90" s="37"/>
      <c r="G90" s="37"/>
      <c r="H90" s="37"/>
      <c r="I90" s="37"/>
      <c r="J90" s="37"/>
      <c r="K90" s="37"/>
      <c r="L90" s="37"/>
    </row>
    <row r="91" spans="4:12" ht="15.75" customHeight="1">
      <c r="D91" s="37"/>
      <c r="E91" s="37"/>
      <c r="F91" s="37"/>
      <c r="G91" s="37"/>
      <c r="H91" s="37"/>
      <c r="I91" s="37"/>
      <c r="J91" s="37"/>
      <c r="K91" s="37"/>
      <c r="L91" s="37"/>
    </row>
    <row r="92" spans="4:12" ht="15.75" customHeight="1">
      <c r="D92" s="37"/>
      <c r="E92" s="37"/>
      <c r="F92" s="37"/>
      <c r="G92" s="37"/>
      <c r="H92" s="37"/>
      <c r="I92" s="37"/>
      <c r="J92" s="37"/>
      <c r="K92" s="37"/>
      <c r="L92" s="37"/>
    </row>
    <row r="93" spans="4:12" ht="15.75" customHeight="1">
      <c r="D93" s="37"/>
      <c r="E93" s="37"/>
      <c r="F93" s="37"/>
      <c r="G93" s="37"/>
      <c r="H93" s="37"/>
      <c r="I93" s="37"/>
      <c r="J93" s="37"/>
      <c r="K93" s="37"/>
      <c r="L93" s="37"/>
    </row>
    <row r="94" spans="4:12" ht="15.75" customHeight="1">
      <c r="D94" s="37"/>
      <c r="E94" s="37"/>
      <c r="F94" s="37"/>
      <c r="G94" s="37"/>
      <c r="H94" s="37"/>
      <c r="I94" s="37"/>
      <c r="J94" s="37"/>
      <c r="K94" s="37"/>
      <c r="L94" s="37"/>
    </row>
    <row r="95" spans="4:12" ht="15.75" customHeight="1">
      <c r="D95" s="37"/>
      <c r="E95" s="37"/>
      <c r="F95" s="37"/>
      <c r="G95" s="37"/>
      <c r="H95" s="37"/>
      <c r="I95" s="37"/>
      <c r="J95" s="37"/>
      <c r="K95" s="37"/>
      <c r="L95" s="37"/>
    </row>
    <row r="96" spans="4:12" ht="15.75" customHeight="1">
      <c r="D96" s="37"/>
      <c r="E96" s="37"/>
      <c r="F96" s="37"/>
      <c r="G96" s="37"/>
      <c r="H96" s="37"/>
      <c r="I96" s="37"/>
      <c r="J96" s="37"/>
      <c r="K96" s="37"/>
      <c r="L96" s="37"/>
    </row>
    <row r="97" spans="4:12" ht="15.75" customHeight="1">
      <c r="D97" s="37"/>
      <c r="E97" s="37"/>
      <c r="F97" s="37"/>
      <c r="G97" s="37"/>
      <c r="H97" s="37"/>
      <c r="I97" s="37"/>
      <c r="J97" s="37"/>
      <c r="K97" s="37"/>
      <c r="L97" s="37"/>
    </row>
    <row r="98" spans="4:12" ht="15.75" customHeight="1">
      <c r="D98" s="37"/>
      <c r="E98" s="37"/>
      <c r="F98" s="37"/>
      <c r="G98" s="37"/>
      <c r="H98" s="37"/>
      <c r="I98" s="37"/>
      <c r="J98" s="37"/>
      <c r="K98" s="37"/>
      <c r="L98" s="37"/>
    </row>
    <row r="99" spans="4:12" ht="15.75" customHeight="1">
      <c r="D99" s="37"/>
      <c r="E99" s="37"/>
      <c r="F99" s="37"/>
      <c r="G99" s="37"/>
      <c r="H99" s="37"/>
      <c r="I99" s="37"/>
      <c r="J99" s="37"/>
      <c r="K99" s="37"/>
      <c r="L99" s="37"/>
    </row>
    <row r="100" spans="4:12" ht="15.75" customHeight="1">
      <c r="D100" s="37"/>
      <c r="E100" s="37"/>
      <c r="F100" s="37"/>
      <c r="G100" s="37"/>
      <c r="H100" s="37"/>
      <c r="I100" s="37"/>
      <c r="J100" s="37"/>
      <c r="K100" s="37"/>
      <c r="L100" s="37"/>
    </row>
    <row r="101" spans="4:12" ht="15.75" customHeight="1">
      <c r="D101" s="37"/>
      <c r="E101" s="37"/>
      <c r="F101" s="37"/>
      <c r="G101" s="37"/>
      <c r="H101" s="37"/>
      <c r="I101" s="37"/>
      <c r="J101" s="37"/>
      <c r="K101" s="37"/>
      <c r="L101" s="37"/>
    </row>
    <row r="102" spans="4:12" ht="15.75" customHeight="1">
      <c r="D102" s="37"/>
      <c r="E102" s="37"/>
      <c r="F102" s="37"/>
      <c r="G102" s="37"/>
      <c r="H102" s="37"/>
      <c r="I102" s="37"/>
      <c r="J102" s="37"/>
      <c r="K102" s="37"/>
      <c r="L102" s="37"/>
    </row>
    <row r="103" spans="4:12" ht="15.75" customHeight="1">
      <c r="D103" s="37"/>
      <c r="E103" s="37"/>
      <c r="F103" s="37"/>
      <c r="G103" s="37"/>
      <c r="H103" s="37"/>
      <c r="I103" s="37"/>
      <c r="J103" s="37"/>
      <c r="K103" s="37"/>
      <c r="L103" s="37"/>
    </row>
    <row r="104" spans="4:12" ht="15.75" customHeight="1">
      <c r="D104" s="37"/>
      <c r="E104" s="37"/>
      <c r="F104" s="37"/>
      <c r="G104" s="37"/>
      <c r="H104" s="37"/>
      <c r="I104" s="37"/>
      <c r="J104" s="37"/>
      <c r="K104" s="37"/>
      <c r="L104" s="37"/>
    </row>
    <row r="105" spans="4:12" ht="15.75" customHeight="1">
      <c r="D105" s="37"/>
      <c r="E105" s="37"/>
      <c r="F105" s="37"/>
      <c r="G105" s="37"/>
      <c r="H105" s="37"/>
      <c r="I105" s="37"/>
      <c r="J105" s="37"/>
      <c r="K105" s="37"/>
      <c r="L105" s="37"/>
    </row>
    <row r="106" spans="4:12" ht="15.75" customHeight="1">
      <c r="D106" s="37"/>
      <c r="E106" s="37"/>
      <c r="F106" s="37"/>
      <c r="G106" s="37"/>
      <c r="H106" s="37"/>
      <c r="I106" s="37"/>
      <c r="J106" s="37"/>
      <c r="K106" s="37"/>
      <c r="L106" s="37"/>
    </row>
    <row r="107" spans="4:12" ht="15.75" customHeight="1">
      <c r="D107" s="37"/>
      <c r="E107" s="37"/>
      <c r="F107" s="37"/>
      <c r="G107" s="37"/>
      <c r="H107" s="37"/>
      <c r="I107" s="37"/>
      <c r="J107" s="37"/>
      <c r="K107" s="37"/>
      <c r="L107" s="37"/>
    </row>
    <row r="108" spans="4:12" ht="15.75" customHeight="1">
      <c r="D108" s="37"/>
      <c r="E108" s="37"/>
      <c r="F108" s="37"/>
      <c r="G108" s="37"/>
      <c r="H108" s="37"/>
      <c r="I108" s="37"/>
      <c r="J108" s="37"/>
      <c r="K108" s="37"/>
      <c r="L108" s="37"/>
    </row>
    <row r="109" spans="4:12" ht="15.75" customHeight="1">
      <c r="D109" s="37"/>
      <c r="E109" s="37"/>
      <c r="F109" s="37"/>
      <c r="G109" s="37"/>
      <c r="H109" s="37"/>
      <c r="I109" s="37"/>
      <c r="J109" s="37"/>
      <c r="K109" s="37"/>
      <c r="L109" s="37"/>
    </row>
    <row r="110" spans="4:12" ht="15.75" customHeight="1">
      <c r="D110" s="37"/>
      <c r="E110" s="37"/>
      <c r="F110" s="37"/>
      <c r="G110" s="37"/>
      <c r="H110" s="37"/>
      <c r="I110" s="37"/>
      <c r="J110" s="37"/>
      <c r="K110" s="37"/>
      <c r="L110" s="37"/>
    </row>
    <row r="111" spans="4:12" ht="15.75" customHeight="1">
      <c r="D111" s="37"/>
      <c r="E111" s="37"/>
      <c r="F111" s="37"/>
      <c r="G111" s="37"/>
      <c r="H111" s="37"/>
      <c r="I111" s="37"/>
      <c r="J111" s="37"/>
      <c r="K111" s="37"/>
      <c r="L111" s="37"/>
    </row>
    <row r="112" spans="4:12" ht="15.75" customHeight="1">
      <c r="D112" s="37"/>
      <c r="E112" s="37"/>
      <c r="F112" s="37"/>
      <c r="G112" s="37"/>
      <c r="H112" s="37"/>
      <c r="I112" s="37"/>
      <c r="J112" s="37"/>
      <c r="K112" s="37"/>
      <c r="L112" s="37"/>
    </row>
    <row r="113" spans="4:12" ht="15.75" customHeight="1">
      <c r="D113" s="37"/>
      <c r="E113" s="37"/>
      <c r="F113" s="37"/>
      <c r="G113" s="37"/>
      <c r="H113" s="37"/>
      <c r="I113" s="37"/>
      <c r="J113" s="37"/>
      <c r="K113" s="37"/>
      <c r="L113" s="37"/>
    </row>
    <row r="114" spans="4:12" ht="15.75" customHeight="1">
      <c r="D114" s="37"/>
      <c r="E114" s="37"/>
      <c r="F114" s="37"/>
      <c r="G114" s="37"/>
      <c r="H114" s="37"/>
      <c r="I114" s="37"/>
      <c r="J114" s="37"/>
      <c r="K114" s="37"/>
      <c r="L114" s="37"/>
    </row>
    <row r="115" spans="4:12" ht="15.75" customHeight="1">
      <c r="D115" s="37"/>
      <c r="E115" s="37"/>
      <c r="F115" s="37"/>
      <c r="G115" s="37"/>
      <c r="H115" s="37"/>
      <c r="I115" s="37"/>
      <c r="J115" s="37"/>
      <c r="K115" s="37"/>
      <c r="L115" s="37"/>
    </row>
    <row r="116" spans="4:12" ht="15.75" customHeight="1">
      <c r="D116" s="37"/>
      <c r="E116" s="37"/>
      <c r="F116" s="37"/>
      <c r="G116" s="37"/>
      <c r="H116" s="37"/>
      <c r="I116" s="37"/>
      <c r="J116" s="37"/>
      <c r="K116" s="37"/>
      <c r="L116" s="37"/>
    </row>
    <row r="117" spans="4:12" ht="15.75" customHeight="1">
      <c r="D117" s="37"/>
      <c r="E117" s="37"/>
      <c r="F117" s="37"/>
      <c r="G117" s="37"/>
      <c r="H117" s="37"/>
      <c r="I117" s="37"/>
      <c r="J117" s="37"/>
      <c r="K117" s="37"/>
      <c r="L117" s="37"/>
    </row>
    <row r="118" spans="4:12" ht="15.75" customHeight="1">
      <c r="D118" s="37"/>
      <c r="E118" s="37"/>
      <c r="F118" s="37"/>
      <c r="G118" s="37"/>
      <c r="H118" s="37"/>
      <c r="I118" s="37"/>
      <c r="J118" s="37"/>
      <c r="K118" s="37"/>
      <c r="L118" s="37"/>
    </row>
    <row r="119" spans="4:12" ht="15.75" customHeight="1">
      <c r="D119" s="37"/>
      <c r="E119" s="37"/>
      <c r="F119" s="37"/>
      <c r="G119" s="37"/>
      <c r="H119" s="37"/>
      <c r="I119" s="37"/>
      <c r="J119" s="37"/>
      <c r="K119" s="37"/>
      <c r="L119" s="37"/>
    </row>
    <row r="120" spans="4:12" ht="15.75" customHeight="1">
      <c r="D120" s="37"/>
      <c r="E120" s="37"/>
      <c r="F120" s="37"/>
      <c r="G120" s="37"/>
      <c r="H120" s="37"/>
      <c r="I120" s="37"/>
      <c r="J120" s="37"/>
      <c r="K120" s="37"/>
      <c r="L120" s="37"/>
    </row>
    <row r="121" spans="4:12" ht="15.75" customHeight="1">
      <c r="D121" s="37"/>
      <c r="E121" s="37"/>
      <c r="F121" s="37"/>
      <c r="G121" s="37"/>
      <c r="H121" s="37"/>
      <c r="I121" s="37"/>
      <c r="J121" s="37"/>
      <c r="K121" s="37"/>
      <c r="L121" s="37"/>
    </row>
    <row r="122" spans="4:12" ht="15.75" customHeight="1">
      <c r="D122" s="37"/>
      <c r="E122" s="37"/>
      <c r="F122" s="37"/>
      <c r="G122" s="37"/>
      <c r="H122" s="37"/>
      <c r="I122" s="37"/>
      <c r="J122" s="37"/>
      <c r="K122" s="37"/>
      <c r="L122" s="37"/>
    </row>
    <row r="123" spans="4:12" ht="15.75" customHeight="1">
      <c r="D123" s="37"/>
      <c r="E123" s="37"/>
      <c r="F123" s="37"/>
      <c r="G123" s="37"/>
      <c r="H123" s="37"/>
      <c r="I123" s="37"/>
      <c r="J123" s="37"/>
      <c r="K123" s="37"/>
      <c r="L123" s="37"/>
    </row>
    <row r="124" spans="4:12" ht="15.75" customHeight="1">
      <c r="D124" s="37"/>
      <c r="E124" s="37"/>
      <c r="F124" s="37"/>
      <c r="G124" s="37"/>
      <c r="H124" s="37"/>
      <c r="I124" s="37"/>
      <c r="J124" s="37"/>
      <c r="K124" s="37"/>
      <c r="L124" s="37"/>
    </row>
    <row r="125" spans="4:12" ht="15.75" customHeight="1">
      <c r="D125" s="37"/>
      <c r="E125" s="37"/>
      <c r="F125" s="37"/>
      <c r="G125" s="37"/>
      <c r="H125" s="37"/>
      <c r="I125" s="37"/>
      <c r="J125" s="37"/>
      <c r="K125" s="37"/>
      <c r="L125" s="37"/>
    </row>
    <row r="126" spans="4:12" ht="15.75" customHeight="1">
      <c r="D126" s="37"/>
      <c r="E126" s="37"/>
      <c r="F126" s="37"/>
      <c r="G126" s="37"/>
      <c r="H126" s="37"/>
      <c r="I126" s="37"/>
      <c r="J126" s="37"/>
      <c r="K126" s="37"/>
      <c r="L126" s="37"/>
    </row>
    <row r="127" spans="4:12" ht="15.75" customHeight="1">
      <c r="D127" s="37"/>
      <c r="E127" s="37"/>
      <c r="F127" s="37"/>
      <c r="G127" s="37"/>
      <c r="H127" s="37"/>
      <c r="I127" s="37"/>
      <c r="J127" s="37"/>
      <c r="K127" s="37"/>
      <c r="L127" s="37"/>
    </row>
    <row r="128" spans="4:12" ht="15.75" customHeight="1">
      <c r="D128" s="37"/>
      <c r="E128" s="37"/>
      <c r="F128" s="37"/>
      <c r="G128" s="37"/>
      <c r="H128" s="37"/>
      <c r="I128" s="37"/>
      <c r="J128" s="37"/>
      <c r="K128" s="37"/>
      <c r="L128" s="37"/>
    </row>
    <row r="129" spans="4:12" ht="15.75" customHeight="1">
      <c r="D129" s="37"/>
      <c r="E129" s="37"/>
      <c r="F129" s="37"/>
      <c r="G129" s="37"/>
      <c r="H129" s="37"/>
      <c r="I129" s="37"/>
      <c r="J129" s="37"/>
      <c r="K129" s="37"/>
      <c r="L129" s="37"/>
    </row>
    <row r="130" spans="4:12" ht="15.75" customHeight="1">
      <c r="D130" s="37"/>
      <c r="E130" s="37"/>
      <c r="F130" s="37"/>
      <c r="G130" s="37"/>
      <c r="H130" s="37"/>
      <c r="I130" s="37"/>
      <c r="J130" s="37"/>
      <c r="K130" s="37"/>
      <c r="L130" s="37"/>
    </row>
    <row r="131" spans="4:12" ht="15.75" customHeight="1">
      <c r="D131" s="37"/>
      <c r="E131" s="37"/>
      <c r="F131" s="37"/>
      <c r="G131" s="37"/>
      <c r="H131" s="37"/>
      <c r="I131" s="37"/>
      <c r="J131" s="37"/>
      <c r="K131" s="37"/>
      <c r="L131" s="37"/>
    </row>
    <row r="132" spans="4:12" ht="15.75" customHeight="1">
      <c r="D132" s="37"/>
      <c r="E132" s="37"/>
      <c r="F132" s="37"/>
      <c r="G132" s="37"/>
      <c r="H132" s="37"/>
      <c r="I132" s="37"/>
      <c r="J132" s="37"/>
      <c r="K132" s="37"/>
      <c r="L132" s="37"/>
    </row>
    <row r="133" spans="4:12" ht="15.75" customHeight="1">
      <c r="D133" s="37"/>
      <c r="E133" s="37"/>
      <c r="F133" s="37"/>
      <c r="G133" s="37"/>
      <c r="H133" s="37"/>
      <c r="I133" s="37"/>
      <c r="J133" s="37"/>
      <c r="K133" s="37"/>
      <c r="L133" s="37"/>
    </row>
    <row r="134" spans="4:12" ht="15.75" customHeight="1">
      <c r="D134" s="37"/>
      <c r="E134" s="37"/>
      <c r="F134" s="37"/>
      <c r="G134" s="37"/>
      <c r="H134" s="37"/>
      <c r="I134" s="37"/>
      <c r="J134" s="37"/>
      <c r="K134" s="37"/>
      <c r="L134" s="37"/>
    </row>
    <row r="135" spans="4:12" ht="15.75" customHeight="1">
      <c r="D135" s="37"/>
      <c r="E135" s="37"/>
      <c r="F135" s="37"/>
      <c r="G135" s="37"/>
      <c r="H135" s="37"/>
      <c r="I135" s="37"/>
      <c r="J135" s="37"/>
      <c r="K135" s="37"/>
      <c r="L135" s="37"/>
    </row>
    <row r="136" spans="4:12" ht="15.75" customHeight="1">
      <c r="D136" s="37"/>
      <c r="E136" s="37"/>
      <c r="F136" s="37"/>
      <c r="G136" s="37"/>
      <c r="H136" s="37"/>
      <c r="I136" s="37"/>
      <c r="J136" s="37"/>
      <c r="K136" s="37"/>
      <c r="L136" s="37"/>
    </row>
    <row r="137" spans="4:12" ht="15.75" customHeight="1">
      <c r="D137" s="37"/>
      <c r="E137" s="37"/>
      <c r="F137" s="37"/>
      <c r="G137" s="37"/>
      <c r="H137" s="37"/>
      <c r="I137" s="37"/>
      <c r="J137" s="37"/>
      <c r="K137" s="37"/>
      <c r="L137" s="37"/>
    </row>
    <row r="138" spans="4:12" ht="15.75" customHeight="1">
      <c r="D138" s="37"/>
      <c r="E138" s="37"/>
      <c r="F138" s="37"/>
      <c r="G138" s="37"/>
      <c r="H138" s="37"/>
      <c r="I138" s="37"/>
      <c r="J138" s="37"/>
      <c r="K138" s="37"/>
      <c r="L138" s="37"/>
    </row>
    <row r="139" spans="4:12" ht="15.75" customHeight="1">
      <c r="D139" s="37"/>
      <c r="E139" s="37"/>
      <c r="F139" s="37"/>
      <c r="G139" s="37"/>
      <c r="H139" s="37"/>
      <c r="I139" s="37"/>
      <c r="J139" s="37"/>
      <c r="K139" s="37"/>
      <c r="L139" s="37"/>
    </row>
    <row r="140" spans="4:12" ht="15.75" customHeight="1">
      <c r="D140" s="37"/>
      <c r="E140" s="37"/>
      <c r="F140" s="37"/>
      <c r="G140" s="37"/>
      <c r="H140" s="37"/>
      <c r="I140" s="37"/>
      <c r="J140" s="37"/>
      <c r="K140" s="37"/>
      <c r="L140" s="37"/>
    </row>
    <row r="141" spans="4:12" ht="15.75" customHeight="1">
      <c r="D141" s="37"/>
      <c r="E141" s="37"/>
      <c r="F141" s="37"/>
      <c r="G141" s="37"/>
      <c r="H141" s="37"/>
      <c r="I141" s="37"/>
      <c r="J141" s="37"/>
      <c r="K141" s="37"/>
      <c r="L141" s="37"/>
    </row>
    <row r="142" spans="4:12" ht="15.75" customHeight="1">
      <c r="D142" s="37"/>
      <c r="E142" s="37"/>
      <c r="F142" s="37"/>
      <c r="G142" s="37"/>
      <c r="H142" s="37"/>
      <c r="I142" s="37"/>
      <c r="J142" s="37"/>
      <c r="K142" s="37"/>
      <c r="L142" s="37"/>
    </row>
    <row r="143" spans="4:12" ht="15.75" customHeight="1">
      <c r="D143" s="37"/>
      <c r="E143" s="37"/>
      <c r="F143" s="37"/>
      <c r="G143" s="37"/>
      <c r="H143" s="37"/>
      <c r="I143" s="37"/>
      <c r="J143" s="37"/>
      <c r="K143" s="37"/>
      <c r="L143" s="37"/>
    </row>
    <row r="144" spans="4:12" ht="15.75" customHeight="1">
      <c r="D144" s="37"/>
      <c r="E144" s="37"/>
      <c r="F144" s="37"/>
      <c r="G144" s="37"/>
      <c r="H144" s="37"/>
      <c r="I144" s="37"/>
      <c r="J144" s="37"/>
      <c r="K144" s="37"/>
      <c r="L144" s="37"/>
    </row>
    <row r="145" spans="4:12" ht="15.75" customHeight="1">
      <c r="D145" s="37"/>
      <c r="E145" s="37"/>
      <c r="F145" s="37"/>
      <c r="G145" s="37"/>
      <c r="H145" s="37"/>
      <c r="I145" s="37"/>
      <c r="J145" s="37"/>
      <c r="K145" s="37"/>
      <c r="L145" s="37"/>
    </row>
    <row r="146" spans="4:12" ht="15.75" customHeight="1">
      <c r="D146" s="37"/>
      <c r="E146" s="37"/>
      <c r="F146" s="37"/>
      <c r="G146" s="37"/>
      <c r="H146" s="37"/>
      <c r="I146" s="37"/>
      <c r="J146" s="37"/>
      <c r="K146" s="37"/>
      <c r="L146" s="37"/>
    </row>
    <row r="147" spans="4:12" ht="15.75" customHeight="1">
      <c r="D147" s="37"/>
      <c r="E147" s="37"/>
      <c r="F147" s="37"/>
      <c r="G147" s="37"/>
      <c r="H147" s="37"/>
      <c r="I147" s="37"/>
      <c r="J147" s="37"/>
      <c r="K147" s="37"/>
      <c r="L147" s="37"/>
    </row>
    <row r="148" spans="4:12" ht="15.75" customHeight="1">
      <c r="D148" s="37"/>
      <c r="E148" s="37"/>
      <c r="F148" s="37"/>
      <c r="G148" s="37"/>
      <c r="H148" s="37"/>
      <c r="I148" s="37"/>
      <c r="J148" s="37"/>
      <c r="K148" s="37"/>
      <c r="L148" s="37"/>
    </row>
    <row r="149" spans="4:12" ht="15.75" customHeight="1">
      <c r="D149" s="37"/>
      <c r="E149" s="37"/>
      <c r="F149" s="37"/>
      <c r="G149" s="37"/>
      <c r="H149" s="37"/>
      <c r="I149" s="37"/>
      <c r="J149" s="37"/>
      <c r="K149" s="37"/>
      <c r="L149" s="37"/>
    </row>
    <row r="150" spans="4:12" ht="15.75" customHeight="1">
      <c r="D150" s="37"/>
      <c r="E150" s="37"/>
      <c r="F150" s="37"/>
      <c r="G150" s="37"/>
      <c r="H150" s="37"/>
      <c r="I150" s="37"/>
      <c r="J150" s="37"/>
      <c r="K150" s="37"/>
      <c r="L150" s="37"/>
    </row>
    <row r="151" spans="4:12" ht="15.75" customHeight="1">
      <c r="D151" s="37"/>
      <c r="E151" s="37"/>
      <c r="F151" s="37"/>
      <c r="G151" s="37"/>
      <c r="H151" s="37"/>
      <c r="I151" s="37"/>
      <c r="J151" s="37"/>
      <c r="K151" s="37"/>
      <c r="L151" s="37"/>
    </row>
    <row r="152" spans="4:12" ht="15.75" customHeight="1">
      <c r="D152" s="37"/>
      <c r="E152" s="37"/>
      <c r="F152" s="37"/>
      <c r="G152" s="37"/>
      <c r="H152" s="37"/>
      <c r="I152" s="37"/>
      <c r="J152" s="37"/>
      <c r="K152" s="37"/>
      <c r="L152" s="37"/>
    </row>
    <row r="153" spans="4:12" ht="15.75" customHeight="1">
      <c r="D153" s="37"/>
      <c r="E153" s="37"/>
      <c r="F153" s="37"/>
      <c r="G153" s="37"/>
      <c r="H153" s="37"/>
      <c r="I153" s="37"/>
      <c r="J153" s="37"/>
      <c r="K153" s="37"/>
      <c r="L153" s="37"/>
    </row>
    <row r="154" spans="4:12" ht="15.75" customHeight="1">
      <c r="D154" s="37"/>
      <c r="E154" s="37"/>
      <c r="F154" s="37"/>
      <c r="G154" s="37"/>
      <c r="H154" s="37"/>
      <c r="I154" s="37"/>
      <c r="J154" s="37"/>
      <c r="K154" s="37"/>
      <c r="L154" s="37"/>
    </row>
    <row r="155" spans="4:12" ht="15.75" customHeight="1">
      <c r="D155" s="37"/>
      <c r="E155" s="37"/>
      <c r="F155" s="37"/>
      <c r="G155" s="37"/>
      <c r="H155" s="37"/>
      <c r="I155" s="37"/>
      <c r="J155" s="37"/>
      <c r="K155" s="37"/>
      <c r="L155" s="37"/>
    </row>
    <row r="156" spans="4:12" ht="15.75" customHeight="1">
      <c r="D156" s="37"/>
      <c r="E156" s="37"/>
      <c r="F156" s="37"/>
      <c r="G156" s="37"/>
      <c r="H156" s="37"/>
      <c r="I156" s="37"/>
      <c r="J156" s="37"/>
      <c r="K156" s="37"/>
      <c r="L156" s="37"/>
    </row>
    <row r="157" spans="4:12" ht="15.75" customHeight="1">
      <c r="D157" s="37"/>
      <c r="E157" s="37"/>
      <c r="F157" s="37"/>
      <c r="G157" s="37"/>
      <c r="H157" s="37"/>
      <c r="I157" s="37"/>
      <c r="J157" s="37"/>
      <c r="K157" s="37"/>
      <c r="L157" s="37"/>
    </row>
    <row r="158" spans="4:12" ht="15.75" customHeight="1">
      <c r="D158" s="37"/>
      <c r="E158" s="37"/>
      <c r="F158" s="37"/>
      <c r="G158" s="37"/>
      <c r="H158" s="37"/>
      <c r="I158" s="37"/>
      <c r="J158" s="37"/>
      <c r="K158" s="37"/>
      <c r="L158" s="37"/>
    </row>
    <row r="159" spans="4:12" ht="15.75" customHeight="1">
      <c r="D159" s="37"/>
      <c r="E159" s="37"/>
      <c r="F159" s="37"/>
      <c r="G159" s="37"/>
      <c r="H159" s="37"/>
      <c r="I159" s="37"/>
      <c r="J159" s="37"/>
      <c r="K159" s="37"/>
      <c r="L159" s="37"/>
    </row>
    <row r="160" spans="4:12" ht="15.75" customHeight="1">
      <c r="D160" s="37"/>
      <c r="E160" s="37"/>
      <c r="F160" s="37"/>
      <c r="G160" s="37"/>
      <c r="H160" s="37"/>
      <c r="I160" s="37"/>
      <c r="J160" s="37"/>
      <c r="K160" s="37"/>
      <c r="L160" s="37"/>
    </row>
    <row r="161" spans="4:12" ht="15.75" customHeight="1">
      <c r="D161" s="37"/>
      <c r="E161" s="37"/>
      <c r="F161" s="37"/>
      <c r="G161" s="37"/>
      <c r="H161" s="37"/>
      <c r="I161" s="37"/>
      <c r="J161" s="37"/>
      <c r="K161" s="37"/>
      <c r="L161" s="37"/>
    </row>
    <row r="162" spans="4:12" ht="15.75" customHeight="1">
      <c r="D162" s="37"/>
      <c r="E162" s="37"/>
      <c r="F162" s="37"/>
      <c r="G162" s="37"/>
      <c r="H162" s="37"/>
      <c r="I162" s="37"/>
      <c r="J162" s="37"/>
      <c r="K162" s="37"/>
      <c r="L162" s="37"/>
    </row>
    <row r="163" spans="4:12" ht="15.75" customHeight="1">
      <c r="D163" s="37"/>
      <c r="E163" s="37"/>
      <c r="F163" s="37"/>
      <c r="G163" s="37"/>
      <c r="H163" s="37"/>
      <c r="I163" s="37"/>
      <c r="J163" s="37"/>
      <c r="K163" s="37"/>
      <c r="L163" s="37"/>
    </row>
    <row r="164" spans="4:12" ht="15.75" customHeight="1">
      <c r="D164" s="37"/>
      <c r="E164" s="37"/>
      <c r="F164" s="37"/>
      <c r="G164" s="37"/>
      <c r="H164" s="37"/>
      <c r="I164" s="37"/>
      <c r="J164" s="37"/>
      <c r="K164" s="37"/>
      <c r="L164" s="37"/>
    </row>
    <row r="165" spans="4:12" ht="15.75" customHeight="1">
      <c r="D165" s="37"/>
      <c r="E165" s="37"/>
      <c r="F165" s="37"/>
      <c r="G165" s="37"/>
      <c r="H165" s="37"/>
      <c r="I165" s="37"/>
      <c r="J165" s="37"/>
      <c r="K165" s="37"/>
      <c r="L165" s="37"/>
    </row>
    <row r="166" spans="4:12" ht="15.75" customHeight="1">
      <c r="D166" s="37"/>
      <c r="E166" s="37"/>
      <c r="F166" s="37"/>
      <c r="G166" s="37"/>
      <c r="H166" s="37"/>
      <c r="I166" s="37"/>
      <c r="J166" s="37"/>
      <c r="K166" s="37"/>
      <c r="L166" s="37"/>
    </row>
    <row r="167" spans="4:12" ht="15.75" customHeight="1">
      <c r="D167" s="37"/>
      <c r="E167" s="37"/>
      <c r="F167" s="37"/>
      <c r="G167" s="37"/>
      <c r="H167" s="37"/>
      <c r="I167" s="37"/>
      <c r="J167" s="37"/>
      <c r="K167" s="37"/>
      <c r="L167" s="37"/>
    </row>
    <row r="168" spans="4:12" ht="15.75" customHeight="1">
      <c r="D168" s="37"/>
      <c r="E168" s="37"/>
      <c r="F168" s="37"/>
      <c r="G168" s="37"/>
      <c r="H168" s="37"/>
      <c r="I168" s="37"/>
      <c r="J168" s="37"/>
      <c r="K168" s="37"/>
      <c r="L168" s="37"/>
    </row>
    <row r="169" spans="4:12" ht="15.75" customHeight="1">
      <c r="D169" s="37"/>
      <c r="E169" s="37"/>
      <c r="F169" s="37"/>
      <c r="G169" s="37"/>
      <c r="H169" s="37"/>
      <c r="I169" s="37"/>
      <c r="J169" s="37"/>
      <c r="K169" s="37"/>
      <c r="L169" s="37"/>
    </row>
    <row r="170" spans="4:12" ht="15.75" customHeight="1">
      <c r="D170" s="37"/>
      <c r="E170" s="37"/>
      <c r="F170" s="37"/>
      <c r="G170" s="37"/>
      <c r="H170" s="37"/>
      <c r="I170" s="37"/>
      <c r="J170" s="37"/>
      <c r="K170" s="37"/>
      <c r="L170" s="37"/>
    </row>
    <row r="171" spans="4:12" ht="15.75" customHeight="1">
      <c r="D171" s="37"/>
      <c r="E171" s="37"/>
      <c r="F171" s="37"/>
      <c r="G171" s="37"/>
      <c r="H171" s="37"/>
      <c r="I171" s="37"/>
      <c r="J171" s="37"/>
      <c r="K171" s="37"/>
      <c r="L171" s="37"/>
    </row>
    <row r="172" spans="4:12" ht="15.75" customHeight="1">
      <c r="D172" s="37"/>
      <c r="E172" s="37"/>
      <c r="F172" s="37"/>
      <c r="G172" s="37"/>
      <c r="H172" s="37"/>
      <c r="I172" s="37"/>
      <c r="J172" s="37"/>
      <c r="K172" s="37"/>
      <c r="L172" s="37"/>
    </row>
    <row r="173" spans="4:12" ht="15.75" customHeight="1">
      <c r="D173" s="37"/>
      <c r="E173" s="37"/>
      <c r="F173" s="37"/>
      <c r="G173" s="37"/>
      <c r="H173" s="37"/>
      <c r="I173" s="37"/>
      <c r="J173" s="37"/>
      <c r="K173" s="37"/>
      <c r="L173" s="37"/>
    </row>
    <row r="174" spans="4:12" ht="15.75" customHeight="1">
      <c r="D174" s="37"/>
      <c r="E174" s="37"/>
      <c r="F174" s="37"/>
      <c r="G174" s="37"/>
      <c r="H174" s="37"/>
      <c r="I174" s="37"/>
      <c r="J174" s="37"/>
      <c r="K174" s="37"/>
      <c r="L174" s="37"/>
    </row>
    <row r="175" spans="4:12" ht="15.75" customHeight="1">
      <c r="D175" s="37"/>
      <c r="E175" s="37"/>
      <c r="F175" s="37"/>
      <c r="G175" s="37"/>
      <c r="H175" s="37"/>
      <c r="I175" s="37"/>
      <c r="J175" s="37"/>
      <c r="K175" s="37"/>
      <c r="L175" s="37"/>
    </row>
    <row r="176" spans="4:12" ht="15.75" customHeight="1">
      <c r="D176" s="37"/>
      <c r="E176" s="37"/>
      <c r="F176" s="37"/>
      <c r="G176" s="37"/>
      <c r="H176" s="37"/>
      <c r="I176" s="37"/>
      <c r="J176" s="37"/>
      <c r="K176" s="37"/>
      <c r="L176" s="37"/>
    </row>
    <row r="177" spans="4:12" ht="15.75" customHeight="1">
      <c r="D177" s="37"/>
      <c r="E177" s="37"/>
      <c r="F177" s="37"/>
      <c r="G177" s="37"/>
      <c r="H177" s="37"/>
      <c r="I177" s="37"/>
      <c r="J177" s="37"/>
      <c r="K177" s="37"/>
      <c r="L177" s="37"/>
    </row>
    <row r="178" spans="4:12" ht="15.75" customHeight="1">
      <c r="D178" s="37"/>
      <c r="E178" s="37"/>
      <c r="F178" s="37"/>
      <c r="G178" s="37"/>
      <c r="H178" s="37"/>
      <c r="I178" s="37"/>
      <c r="J178" s="37"/>
      <c r="K178" s="37"/>
      <c r="L178" s="37"/>
    </row>
    <row r="179" spans="4:12" ht="15.75" customHeight="1">
      <c r="D179" s="37"/>
      <c r="E179" s="37"/>
      <c r="F179" s="37"/>
      <c r="G179" s="37"/>
      <c r="H179" s="37"/>
      <c r="I179" s="37"/>
      <c r="J179" s="37"/>
      <c r="K179" s="37"/>
      <c r="L179" s="37"/>
    </row>
    <row r="180" spans="4:12" ht="15.75" customHeight="1">
      <c r="D180" s="37"/>
      <c r="E180" s="37"/>
      <c r="F180" s="37"/>
      <c r="G180" s="37"/>
      <c r="H180" s="37"/>
      <c r="I180" s="37"/>
      <c r="J180" s="37"/>
      <c r="K180" s="37"/>
      <c r="L180" s="37"/>
    </row>
    <row r="181" spans="4:12" ht="15.75" customHeight="1">
      <c r="D181" s="37"/>
      <c r="E181" s="37"/>
      <c r="F181" s="37"/>
      <c r="G181" s="37"/>
      <c r="H181" s="37"/>
      <c r="I181" s="37"/>
      <c r="J181" s="37"/>
      <c r="K181" s="37"/>
      <c r="L181" s="37"/>
    </row>
    <row r="182" spans="4:12" ht="15.75" customHeight="1">
      <c r="D182" s="37"/>
      <c r="E182" s="37"/>
      <c r="F182" s="37"/>
      <c r="G182" s="37"/>
      <c r="H182" s="37"/>
      <c r="I182" s="37"/>
      <c r="J182" s="37"/>
      <c r="K182" s="37"/>
      <c r="L182" s="37"/>
    </row>
    <row r="183" spans="4:12" ht="15.75" customHeight="1">
      <c r="D183" s="37"/>
      <c r="E183" s="37"/>
      <c r="F183" s="37"/>
      <c r="G183" s="37"/>
      <c r="H183" s="37"/>
      <c r="I183" s="37"/>
      <c r="J183" s="37"/>
      <c r="K183" s="37"/>
      <c r="L183" s="37"/>
    </row>
    <row r="184" spans="4:12" ht="15.75" customHeight="1">
      <c r="D184" s="37"/>
      <c r="E184" s="37"/>
      <c r="F184" s="37"/>
      <c r="G184" s="37"/>
      <c r="H184" s="37"/>
      <c r="I184" s="37"/>
      <c r="J184" s="37"/>
      <c r="K184" s="37"/>
      <c r="L184" s="37"/>
    </row>
    <row r="185" spans="4:12" ht="15.75" customHeight="1">
      <c r="D185" s="37"/>
      <c r="E185" s="37"/>
      <c r="F185" s="37"/>
      <c r="G185" s="37"/>
      <c r="H185" s="37"/>
      <c r="I185" s="37"/>
      <c r="J185" s="37"/>
      <c r="K185" s="37"/>
      <c r="L185" s="37"/>
    </row>
    <row r="186" spans="4:12" ht="15.75" customHeight="1">
      <c r="D186" s="37"/>
      <c r="E186" s="37"/>
      <c r="F186" s="37"/>
      <c r="G186" s="37"/>
      <c r="H186" s="37"/>
      <c r="I186" s="37"/>
      <c r="J186" s="37"/>
      <c r="K186" s="37"/>
      <c r="L186" s="37"/>
    </row>
    <row r="187" spans="4:12" ht="15.75" customHeight="1">
      <c r="D187" s="37"/>
      <c r="E187" s="37"/>
      <c r="F187" s="37"/>
      <c r="G187" s="37"/>
      <c r="H187" s="37"/>
      <c r="I187" s="37"/>
      <c r="J187" s="37"/>
      <c r="K187" s="37"/>
      <c r="L187" s="37"/>
    </row>
    <row r="188" spans="4:12" ht="15.75" customHeight="1">
      <c r="D188" s="37"/>
      <c r="E188" s="37"/>
      <c r="F188" s="37"/>
      <c r="G188" s="37"/>
      <c r="H188" s="37"/>
      <c r="I188" s="37"/>
      <c r="J188" s="37"/>
      <c r="K188" s="37"/>
      <c r="L188" s="37"/>
    </row>
    <row r="189" spans="4:12" ht="15.75" customHeight="1">
      <c r="D189" s="37"/>
      <c r="E189" s="37"/>
      <c r="F189" s="37"/>
      <c r="G189" s="37"/>
      <c r="H189" s="37"/>
      <c r="I189" s="37"/>
      <c r="J189" s="37"/>
      <c r="K189" s="37"/>
      <c r="L189" s="37"/>
    </row>
    <row r="190" spans="4:12" ht="15.75" customHeight="1">
      <c r="D190" s="37"/>
      <c r="E190" s="37"/>
      <c r="F190" s="37"/>
      <c r="G190" s="37"/>
      <c r="H190" s="37"/>
      <c r="I190" s="37"/>
      <c r="J190" s="37"/>
      <c r="K190" s="37"/>
      <c r="L190" s="37"/>
    </row>
    <row r="191" spans="4:12" ht="15.75" customHeight="1">
      <c r="D191" s="37"/>
      <c r="E191" s="37"/>
      <c r="F191" s="37"/>
      <c r="G191" s="37"/>
      <c r="H191" s="37"/>
      <c r="I191" s="37"/>
      <c r="J191" s="37"/>
      <c r="K191" s="37"/>
      <c r="L191" s="37"/>
    </row>
    <row r="192" spans="4:12" ht="15.75" customHeight="1">
      <c r="D192" s="37"/>
      <c r="E192" s="37"/>
      <c r="F192" s="37"/>
      <c r="G192" s="37"/>
      <c r="H192" s="37"/>
      <c r="I192" s="37"/>
      <c r="J192" s="37"/>
      <c r="K192" s="37"/>
      <c r="L192" s="37"/>
    </row>
    <row r="193" spans="4:12" ht="15.75" customHeight="1">
      <c r="D193" s="37"/>
      <c r="E193" s="37"/>
      <c r="F193" s="37"/>
      <c r="G193" s="37"/>
      <c r="H193" s="37"/>
      <c r="I193" s="37"/>
      <c r="J193" s="37"/>
      <c r="K193" s="37"/>
      <c r="L193" s="37"/>
    </row>
    <row r="194" spans="4:12" ht="15.75" customHeight="1">
      <c r="D194" s="37"/>
      <c r="E194" s="37"/>
      <c r="F194" s="37"/>
      <c r="G194" s="37"/>
      <c r="H194" s="37"/>
      <c r="I194" s="37"/>
      <c r="J194" s="37"/>
      <c r="K194" s="37"/>
      <c r="L194" s="37"/>
    </row>
    <row r="195" spans="4:12" ht="15.75" customHeight="1">
      <c r="D195" s="37"/>
      <c r="E195" s="37"/>
      <c r="F195" s="37"/>
      <c r="G195" s="37"/>
      <c r="H195" s="37"/>
      <c r="I195" s="37"/>
      <c r="J195" s="37"/>
      <c r="K195" s="37"/>
      <c r="L195" s="37"/>
    </row>
    <row r="196" spans="4:12" ht="15.75" customHeight="1">
      <c r="D196" s="37"/>
      <c r="E196" s="37"/>
      <c r="F196" s="37"/>
      <c r="G196" s="37"/>
      <c r="H196" s="37"/>
      <c r="I196" s="37"/>
      <c r="J196" s="37"/>
      <c r="K196" s="37"/>
      <c r="L196" s="37"/>
    </row>
    <row r="197" spans="4:12" ht="15.75" customHeight="1">
      <c r="D197" s="37"/>
      <c r="E197" s="37"/>
      <c r="F197" s="37"/>
      <c r="G197" s="37"/>
      <c r="H197" s="37"/>
      <c r="I197" s="37"/>
      <c r="J197" s="37"/>
      <c r="K197" s="37"/>
      <c r="L197" s="37"/>
    </row>
    <row r="198" spans="4:12" ht="15.75" customHeight="1">
      <c r="D198" s="37"/>
      <c r="E198" s="37"/>
      <c r="F198" s="37"/>
      <c r="G198" s="37"/>
      <c r="H198" s="37"/>
      <c r="I198" s="37"/>
      <c r="J198" s="37"/>
      <c r="K198" s="37"/>
      <c r="L198" s="37"/>
    </row>
    <row r="199" spans="4:12" ht="15.75" customHeight="1">
      <c r="D199" s="37"/>
      <c r="E199" s="37"/>
      <c r="F199" s="37"/>
      <c r="G199" s="37"/>
      <c r="H199" s="37"/>
      <c r="I199" s="37"/>
      <c r="J199" s="37"/>
      <c r="K199" s="37"/>
      <c r="L199" s="37"/>
    </row>
    <row r="200" spans="4:12" ht="15.75" customHeight="1">
      <c r="D200" s="37"/>
      <c r="E200" s="37"/>
      <c r="F200" s="37"/>
      <c r="G200" s="37"/>
      <c r="H200" s="37"/>
      <c r="I200" s="37"/>
      <c r="J200" s="37"/>
      <c r="K200" s="37"/>
      <c r="L200" s="37"/>
    </row>
    <row r="201" spans="4:12" ht="15.75" customHeight="1">
      <c r="D201" s="37"/>
      <c r="E201" s="37"/>
      <c r="F201" s="37"/>
      <c r="G201" s="37"/>
      <c r="H201" s="37"/>
      <c r="I201" s="37"/>
      <c r="J201" s="37"/>
      <c r="K201" s="37"/>
      <c r="L201" s="37"/>
    </row>
    <row r="202" spans="4:12" ht="15.75" customHeight="1">
      <c r="D202" s="37"/>
      <c r="E202" s="37"/>
      <c r="F202" s="37"/>
      <c r="G202" s="37"/>
      <c r="H202" s="37"/>
      <c r="I202" s="37"/>
      <c r="J202" s="37"/>
      <c r="K202" s="37"/>
      <c r="L202" s="37"/>
    </row>
    <row r="203" spans="4:12" ht="15.75" customHeight="1">
      <c r="D203" s="37"/>
      <c r="E203" s="37"/>
      <c r="F203" s="37"/>
      <c r="G203" s="37"/>
      <c r="H203" s="37"/>
      <c r="I203" s="37"/>
      <c r="J203" s="37"/>
      <c r="K203" s="37"/>
      <c r="L203" s="37"/>
    </row>
    <row r="204" spans="4:12" ht="15.75" customHeight="1">
      <c r="D204" s="37"/>
      <c r="E204" s="37"/>
      <c r="F204" s="37"/>
      <c r="G204" s="37"/>
      <c r="H204" s="37"/>
      <c r="I204" s="37"/>
      <c r="J204" s="37"/>
      <c r="K204" s="37"/>
      <c r="L204" s="37"/>
    </row>
    <row r="205" spans="4:12" ht="15.75" customHeight="1">
      <c r="D205" s="37"/>
      <c r="E205" s="37"/>
      <c r="F205" s="37"/>
      <c r="G205" s="37"/>
      <c r="H205" s="37"/>
      <c r="I205" s="37"/>
      <c r="J205" s="37"/>
      <c r="K205" s="37"/>
      <c r="L205" s="37"/>
    </row>
    <row r="206" spans="4:12" ht="15.75" customHeight="1">
      <c r="D206" s="37"/>
      <c r="E206" s="37"/>
      <c r="F206" s="37"/>
      <c r="G206" s="37"/>
      <c r="H206" s="37"/>
      <c r="I206" s="37"/>
      <c r="J206" s="37"/>
      <c r="K206" s="37"/>
      <c r="L206" s="37"/>
    </row>
    <row r="207" spans="4:12" ht="15.75" customHeight="1">
      <c r="D207" s="37"/>
      <c r="E207" s="37"/>
      <c r="F207" s="37"/>
      <c r="G207" s="37"/>
      <c r="H207" s="37"/>
      <c r="I207" s="37"/>
      <c r="J207" s="37"/>
      <c r="K207" s="37"/>
      <c r="L207" s="37"/>
    </row>
    <row r="208" spans="4:12" ht="15.75" customHeight="1">
      <c r="D208" s="37"/>
      <c r="E208" s="37"/>
      <c r="F208" s="37"/>
      <c r="G208" s="37"/>
      <c r="H208" s="37"/>
      <c r="I208" s="37"/>
      <c r="J208" s="37"/>
      <c r="K208" s="37"/>
      <c r="L208" s="37"/>
    </row>
    <row r="209" spans="4:12" ht="15.75" customHeight="1">
      <c r="D209" s="37"/>
      <c r="E209" s="37"/>
      <c r="F209" s="37"/>
      <c r="G209" s="37"/>
      <c r="H209" s="37"/>
      <c r="I209" s="37"/>
      <c r="J209" s="37"/>
      <c r="K209" s="37"/>
      <c r="L209" s="37"/>
    </row>
    <row r="210" spans="4:12" ht="15.75" customHeight="1">
      <c r="D210" s="37"/>
      <c r="E210" s="37"/>
      <c r="F210" s="37"/>
      <c r="G210" s="37"/>
      <c r="H210" s="37"/>
      <c r="I210" s="37"/>
      <c r="J210" s="37"/>
      <c r="K210" s="37"/>
      <c r="L210" s="37"/>
    </row>
    <row r="211" spans="4:12" ht="15.75" customHeight="1">
      <c r="D211" s="37"/>
      <c r="E211" s="37"/>
      <c r="F211" s="37"/>
      <c r="G211" s="37"/>
      <c r="H211" s="37"/>
      <c r="I211" s="37"/>
      <c r="J211" s="37"/>
      <c r="K211" s="37"/>
      <c r="L211" s="37"/>
    </row>
    <row r="212" spans="4:12" ht="15.75" customHeight="1">
      <c r="D212" s="37"/>
      <c r="E212" s="37"/>
      <c r="F212" s="37"/>
      <c r="G212" s="37"/>
      <c r="H212" s="37"/>
      <c r="I212" s="37"/>
      <c r="J212" s="37"/>
      <c r="K212" s="37"/>
      <c r="L212" s="37"/>
    </row>
    <row r="213" spans="4:12" ht="15.75" customHeight="1">
      <c r="D213" s="37"/>
      <c r="E213" s="37"/>
      <c r="F213" s="37"/>
      <c r="G213" s="37"/>
      <c r="H213" s="37"/>
      <c r="I213" s="37"/>
      <c r="J213" s="37"/>
      <c r="K213" s="37"/>
      <c r="L213" s="37"/>
    </row>
    <row r="214" spans="4:12" ht="15.75" customHeight="1">
      <c r="D214" s="37"/>
      <c r="E214" s="37"/>
      <c r="F214" s="37"/>
      <c r="G214" s="37"/>
      <c r="H214" s="37"/>
      <c r="I214" s="37"/>
      <c r="J214" s="37"/>
      <c r="K214" s="37"/>
      <c r="L214" s="37"/>
    </row>
    <row r="215" spans="4:12" ht="15.75" customHeight="1">
      <c r="D215" s="37"/>
      <c r="E215" s="37"/>
      <c r="F215" s="37"/>
      <c r="G215" s="37"/>
      <c r="H215" s="37"/>
      <c r="I215" s="37"/>
      <c r="J215" s="37"/>
      <c r="K215" s="37"/>
      <c r="L215" s="37"/>
    </row>
    <row r="216" spans="4:12" ht="15.75" customHeight="1">
      <c r="D216" s="37"/>
      <c r="E216" s="37"/>
      <c r="F216" s="37"/>
      <c r="G216" s="37"/>
      <c r="H216" s="37"/>
      <c r="I216" s="37"/>
      <c r="J216" s="37"/>
      <c r="K216" s="37"/>
      <c r="L216" s="37"/>
    </row>
    <row r="217" spans="4:12" ht="15.75" customHeight="1">
      <c r="D217" s="37"/>
      <c r="E217" s="37"/>
      <c r="F217" s="37"/>
      <c r="G217" s="37"/>
      <c r="H217" s="37"/>
      <c r="I217" s="37"/>
      <c r="J217" s="37"/>
      <c r="K217" s="37"/>
      <c r="L217" s="37"/>
    </row>
    <row r="218" spans="4:12" ht="15.75" customHeight="1">
      <c r="D218" s="37"/>
      <c r="E218" s="37"/>
      <c r="F218" s="37"/>
      <c r="G218" s="37"/>
      <c r="H218" s="37"/>
      <c r="I218" s="37"/>
      <c r="J218" s="37"/>
      <c r="K218" s="37"/>
      <c r="L218" s="37"/>
    </row>
    <row r="219" spans="4:12" ht="15.75" customHeight="1">
      <c r="D219" s="37"/>
      <c r="E219" s="37"/>
      <c r="F219" s="37"/>
      <c r="G219" s="37"/>
      <c r="H219" s="37"/>
      <c r="I219" s="37"/>
      <c r="J219" s="37"/>
      <c r="K219" s="37"/>
      <c r="L219" s="37"/>
    </row>
    <row r="220" spans="4:12" ht="15.75" customHeight="1">
      <c r="D220" s="37"/>
      <c r="E220" s="37"/>
      <c r="F220" s="37"/>
      <c r="G220" s="37"/>
      <c r="H220" s="37"/>
      <c r="I220" s="37"/>
      <c r="J220" s="37"/>
      <c r="K220" s="37"/>
      <c r="L220" s="37"/>
    </row>
    <row r="221" spans="4:12" ht="15.75" customHeight="1">
      <c r="D221" s="37"/>
      <c r="E221" s="37"/>
      <c r="F221" s="37"/>
      <c r="G221" s="37"/>
      <c r="H221" s="37"/>
      <c r="I221" s="37"/>
      <c r="J221" s="37"/>
      <c r="K221" s="37"/>
      <c r="L221" s="37"/>
    </row>
    <row r="222" spans="4:12" ht="15.75" customHeight="1">
      <c r="D222" s="37"/>
      <c r="E222" s="37"/>
      <c r="F222" s="37"/>
      <c r="G222" s="37"/>
      <c r="H222" s="37"/>
      <c r="I222" s="37"/>
      <c r="J222" s="37"/>
      <c r="K222" s="37"/>
      <c r="L222" s="37"/>
    </row>
    <row r="223" spans="4:12" ht="15.75" customHeight="1">
      <c r="D223" s="37"/>
      <c r="E223" s="37"/>
      <c r="F223" s="37"/>
      <c r="G223" s="37"/>
      <c r="H223" s="37"/>
      <c r="I223" s="37"/>
      <c r="J223" s="37"/>
      <c r="K223" s="37"/>
      <c r="L223" s="37"/>
    </row>
    <row r="224" spans="4:12" ht="15.75" customHeight="1">
      <c r="D224" s="37"/>
      <c r="E224" s="37"/>
      <c r="F224" s="37"/>
      <c r="G224" s="37"/>
      <c r="H224" s="37"/>
      <c r="I224" s="37"/>
      <c r="J224" s="37"/>
      <c r="K224" s="37"/>
      <c r="L224" s="37"/>
    </row>
    <row r="225" spans="4:12" ht="15.75" customHeight="1">
      <c r="D225" s="37"/>
      <c r="E225" s="37"/>
      <c r="F225" s="37"/>
      <c r="G225" s="37"/>
      <c r="H225" s="37"/>
      <c r="I225" s="37"/>
      <c r="J225" s="37"/>
      <c r="K225" s="37"/>
      <c r="L225" s="37"/>
    </row>
    <row r="226" spans="4:12" ht="15.75" customHeight="1">
      <c r="D226" s="37"/>
      <c r="E226" s="37"/>
      <c r="F226" s="37"/>
      <c r="G226" s="37"/>
      <c r="H226" s="37"/>
      <c r="I226" s="37"/>
      <c r="J226" s="37"/>
      <c r="K226" s="37"/>
      <c r="L226" s="37"/>
    </row>
    <row r="227" spans="4:12" ht="15.75" customHeight="1">
      <c r="D227" s="37"/>
      <c r="E227" s="37"/>
      <c r="F227" s="37"/>
      <c r="G227" s="37"/>
      <c r="H227" s="37"/>
      <c r="I227" s="37"/>
      <c r="J227" s="37"/>
      <c r="K227" s="37"/>
      <c r="L227" s="37"/>
    </row>
    <row r="228" spans="4:12" ht="15.75" customHeight="1">
      <c r="D228" s="37"/>
      <c r="E228" s="37"/>
      <c r="F228" s="37"/>
      <c r="G228" s="37"/>
      <c r="H228" s="37"/>
      <c r="I228" s="37"/>
      <c r="J228" s="37"/>
      <c r="K228" s="37"/>
      <c r="L228" s="37"/>
    </row>
    <row r="229" spans="4:12" ht="15.75" customHeight="1">
      <c r="D229" s="37"/>
      <c r="E229" s="37"/>
      <c r="F229" s="37"/>
      <c r="G229" s="37"/>
      <c r="H229" s="37"/>
      <c r="I229" s="37"/>
      <c r="J229" s="37"/>
      <c r="K229" s="37"/>
      <c r="L229" s="37"/>
    </row>
    <row r="230" spans="4:12" ht="15.75" customHeight="1">
      <c r="D230" s="37"/>
      <c r="E230" s="37"/>
      <c r="F230" s="37"/>
      <c r="G230" s="37"/>
      <c r="H230" s="37"/>
      <c r="I230" s="37"/>
      <c r="J230" s="37"/>
      <c r="K230" s="37"/>
      <c r="L230" s="37"/>
    </row>
    <row r="231" spans="4:12" ht="15.75" customHeight="1">
      <c r="D231" s="37"/>
      <c r="E231" s="37"/>
      <c r="F231" s="37"/>
      <c r="G231" s="37"/>
      <c r="H231" s="37"/>
      <c r="I231" s="37"/>
      <c r="J231" s="37"/>
      <c r="K231" s="37"/>
      <c r="L231" s="37"/>
    </row>
    <row r="232" spans="4:12" ht="15.75" customHeight="1">
      <c r="D232" s="37"/>
      <c r="E232" s="37"/>
      <c r="F232" s="37"/>
      <c r="G232" s="37"/>
      <c r="H232" s="37"/>
      <c r="I232" s="37"/>
      <c r="J232" s="37"/>
      <c r="K232" s="37"/>
      <c r="L232" s="37"/>
    </row>
    <row r="233" spans="4:12" ht="15.75" customHeight="1">
      <c r="D233" s="37"/>
      <c r="E233" s="37"/>
      <c r="F233" s="37"/>
      <c r="G233" s="37"/>
      <c r="H233" s="37"/>
      <c r="I233" s="37"/>
      <c r="J233" s="37"/>
      <c r="K233" s="37"/>
      <c r="L233" s="37"/>
    </row>
    <row r="234" spans="4:12" ht="15.75" customHeight="1">
      <c r="D234" s="37"/>
      <c r="E234" s="37"/>
      <c r="F234" s="37"/>
      <c r="G234" s="37"/>
      <c r="H234" s="37"/>
      <c r="I234" s="37"/>
      <c r="J234" s="37"/>
      <c r="K234" s="37"/>
      <c r="L234" s="37"/>
    </row>
    <row r="235" spans="4:12" ht="15.75" customHeight="1">
      <c r="D235" s="37"/>
      <c r="E235" s="37"/>
      <c r="F235" s="37"/>
      <c r="G235" s="37"/>
      <c r="H235" s="37"/>
      <c r="I235" s="37"/>
      <c r="J235" s="37"/>
      <c r="K235" s="37"/>
      <c r="L235" s="37"/>
    </row>
    <row r="236" spans="4:12" ht="15.75" customHeight="1">
      <c r="D236" s="37"/>
      <c r="E236" s="37"/>
      <c r="F236" s="37"/>
      <c r="G236" s="37"/>
      <c r="H236" s="37"/>
      <c r="I236" s="37"/>
      <c r="J236" s="37"/>
      <c r="K236" s="37"/>
      <c r="L236" s="37"/>
    </row>
    <row r="237" spans="4:12" ht="15.75" customHeight="1">
      <c r="D237" s="37"/>
      <c r="E237" s="37"/>
      <c r="F237" s="37"/>
      <c r="G237" s="37"/>
      <c r="H237" s="37"/>
      <c r="I237" s="37"/>
      <c r="J237" s="37"/>
      <c r="K237" s="37"/>
      <c r="L237" s="37"/>
    </row>
    <row r="238" spans="4:12" ht="15.75" customHeight="1">
      <c r="D238" s="37"/>
      <c r="E238" s="37"/>
      <c r="F238" s="37"/>
      <c r="G238" s="37"/>
      <c r="H238" s="37"/>
      <c r="I238" s="37"/>
      <c r="J238" s="37"/>
      <c r="K238" s="37"/>
      <c r="L238" s="37"/>
    </row>
    <row r="239" spans="4:12" ht="15.75" customHeight="1">
      <c r="D239" s="37"/>
      <c r="E239" s="37"/>
      <c r="F239" s="37"/>
      <c r="G239" s="37"/>
      <c r="H239" s="37"/>
      <c r="I239" s="37"/>
      <c r="J239" s="37"/>
      <c r="K239" s="37"/>
      <c r="L239" s="37"/>
    </row>
    <row r="240" spans="4:12" ht="15.75" customHeight="1">
      <c r="D240" s="37"/>
      <c r="E240" s="37"/>
      <c r="F240" s="37"/>
      <c r="G240" s="37"/>
      <c r="H240" s="37"/>
      <c r="I240" s="37"/>
      <c r="J240" s="37"/>
      <c r="K240" s="37"/>
      <c r="L240" s="37"/>
    </row>
    <row r="241" spans="4:12" ht="15.75" customHeight="1">
      <c r="D241" s="37"/>
      <c r="E241" s="37"/>
      <c r="F241" s="37"/>
      <c r="G241" s="37"/>
      <c r="H241" s="37"/>
      <c r="I241" s="37"/>
      <c r="J241" s="37"/>
      <c r="K241" s="37"/>
      <c r="L241" s="37"/>
    </row>
    <row r="242" spans="4:12" ht="15.75" customHeight="1"/>
    <row r="243" spans="4:12" ht="15.75" customHeight="1"/>
    <row r="244" spans="4:12" ht="15.75" customHeight="1"/>
    <row r="245" spans="4:12" ht="15.75" customHeight="1"/>
    <row r="246" spans="4:12" ht="15.75" customHeight="1"/>
    <row r="247" spans="4:12" ht="15.75" customHeight="1"/>
    <row r="248" spans="4:12" ht="15.75" customHeight="1"/>
    <row r="249" spans="4:12" ht="15.75" customHeight="1"/>
    <row r="250" spans="4:12" ht="15.75" customHeight="1"/>
    <row r="251" spans="4:12" ht="15.75" customHeight="1"/>
    <row r="252" spans="4:12" ht="15.75" customHeight="1"/>
    <row r="253" spans="4:12" ht="15.75" customHeight="1"/>
    <row r="254" spans="4:12" ht="15.75" customHeight="1"/>
    <row r="255" spans="4:12" ht="15.75" customHeight="1"/>
    <row r="256" spans="4:1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L30" xr:uid="{00000000-0009-0000-0000-000001000000}"/>
  <mergeCells count="18">
    <mergeCell ref="A41:L41"/>
    <mergeCell ref="A1:A3"/>
    <mergeCell ref="A33:C34"/>
    <mergeCell ref="J33:L35"/>
    <mergeCell ref="A35:C35"/>
    <mergeCell ref="D35:I35"/>
    <mergeCell ref="A36:L36"/>
    <mergeCell ref="A37:L37"/>
    <mergeCell ref="A5:L5"/>
    <mergeCell ref="A6:J6"/>
    <mergeCell ref="A38:L38"/>
    <mergeCell ref="A39:L39"/>
    <mergeCell ref="A40:L40"/>
    <mergeCell ref="B1:J3"/>
    <mergeCell ref="K1:L1"/>
    <mergeCell ref="K2:L2"/>
    <mergeCell ref="K3:L3"/>
    <mergeCell ref="B4:L4"/>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9DAF8"/>
  </sheetPr>
  <dimension ref="A1:Z1003"/>
  <sheetViews>
    <sheetView workbookViewId="0">
      <selection sqref="A1:A3"/>
    </sheetView>
  </sheetViews>
  <sheetFormatPr baseColWidth="10" defaultColWidth="14.42578125" defaultRowHeight="15" customHeight="1"/>
  <cols>
    <col min="1" max="1" width="26" customWidth="1"/>
    <col min="2" max="2" width="15.5703125" customWidth="1"/>
    <col min="3" max="3" width="8.85546875" customWidth="1"/>
    <col min="4" max="4" width="13.5703125" customWidth="1"/>
    <col min="5" max="5" width="13.7109375" customWidth="1"/>
    <col min="6" max="6" width="17.5703125" customWidth="1"/>
    <col min="7" max="7" width="27.140625" customWidth="1"/>
    <col min="8" max="8" width="24.5703125" customWidth="1"/>
    <col min="9" max="9" width="18.140625" customWidth="1"/>
    <col min="10" max="26" width="8" customWidth="1"/>
  </cols>
  <sheetData>
    <row r="1" spans="1:26" ht="21" customHeight="1">
      <c r="A1" s="127"/>
      <c r="B1" s="129" t="s">
        <v>55</v>
      </c>
      <c r="C1" s="130"/>
      <c r="D1" s="130"/>
      <c r="E1" s="130"/>
      <c r="F1" s="130"/>
      <c r="G1" s="131"/>
      <c r="H1" s="62" t="s">
        <v>56</v>
      </c>
    </row>
    <row r="2" spans="1:26" ht="21" customHeight="1">
      <c r="A2" s="128"/>
      <c r="B2" s="132"/>
      <c r="C2" s="128"/>
      <c r="D2" s="128"/>
      <c r="E2" s="128"/>
      <c r="F2" s="128"/>
      <c r="G2" s="133"/>
      <c r="H2" s="62" t="s">
        <v>2</v>
      </c>
    </row>
    <row r="3" spans="1:26" ht="21" customHeight="1">
      <c r="A3" s="135"/>
      <c r="B3" s="134"/>
      <c r="C3" s="135"/>
      <c r="D3" s="135"/>
      <c r="E3" s="135"/>
      <c r="F3" s="135"/>
      <c r="G3" s="136"/>
      <c r="H3" s="62" t="s">
        <v>3</v>
      </c>
    </row>
    <row r="4" spans="1:26" ht="26.25" customHeight="1">
      <c r="A4" s="63" t="s">
        <v>4</v>
      </c>
      <c r="B4" s="160" t="s">
        <v>5</v>
      </c>
      <c r="C4" s="128"/>
      <c r="D4" s="128"/>
      <c r="E4" s="128"/>
      <c r="F4" s="128"/>
      <c r="G4" s="128"/>
      <c r="H4" s="128"/>
      <c r="I4" s="64"/>
      <c r="J4" s="64"/>
      <c r="K4" s="64"/>
      <c r="L4" s="64"/>
      <c r="M4" s="64"/>
      <c r="N4" s="64"/>
      <c r="O4" s="64"/>
      <c r="P4" s="64"/>
      <c r="Q4" s="64"/>
      <c r="R4" s="64"/>
      <c r="S4" s="64"/>
      <c r="T4" s="64"/>
      <c r="U4" s="64"/>
      <c r="V4" s="64"/>
      <c r="W4" s="64"/>
      <c r="X4" s="64"/>
      <c r="Y4" s="64"/>
      <c r="Z4" s="64"/>
    </row>
    <row r="5" spans="1:26">
      <c r="A5" s="141" t="s">
        <v>57</v>
      </c>
      <c r="B5" s="140"/>
      <c r="C5" s="140"/>
      <c r="D5" s="140"/>
      <c r="E5" s="140"/>
      <c r="F5" s="140"/>
      <c r="G5" s="140"/>
      <c r="H5" s="138"/>
    </row>
    <row r="6" spans="1:26">
      <c r="A6" s="141" t="s">
        <v>7</v>
      </c>
      <c r="B6" s="140"/>
      <c r="C6" s="140"/>
      <c r="D6" s="140"/>
      <c r="E6" s="140"/>
      <c r="F6" s="140"/>
      <c r="G6" s="138"/>
      <c r="H6" s="2" t="s">
        <v>58</v>
      </c>
    </row>
    <row r="7" spans="1:26" ht="37.5" customHeight="1">
      <c r="A7" s="4" t="s">
        <v>11</v>
      </c>
      <c r="B7" s="4" t="s">
        <v>12</v>
      </c>
      <c r="C7" s="4" t="s">
        <v>38</v>
      </c>
      <c r="D7" s="4" t="s">
        <v>59</v>
      </c>
      <c r="E7" s="4" t="s">
        <v>60</v>
      </c>
      <c r="F7" s="5" t="s">
        <v>61</v>
      </c>
      <c r="G7" s="5" t="s">
        <v>62</v>
      </c>
      <c r="H7" s="41" t="s">
        <v>19</v>
      </c>
      <c r="I7" s="65" t="s">
        <v>21</v>
      </c>
    </row>
    <row r="8" spans="1:26">
      <c r="A8" s="8">
        <v>46153</v>
      </c>
      <c r="B8" s="9" t="s">
        <v>24</v>
      </c>
      <c r="C8" s="9">
        <v>1</v>
      </c>
      <c r="D8" s="9" t="s">
        <v>23</v>
      </c>
      <c r="E8" s="9" t="s">
        <v>23</v>
      </c>
      <c r="F8" s="9" t="s">
        <v>23</v>
      </c>
      <c r="G8" s="9"/>
      <c r="H8" s="9"/>
      <c r="I8" s="66"/>
    </row>
    <row r="9" spans="1:26">
      <c r="A9" s="8">
        <v>46153</v>
      </c>
      <c r="B9" s="9" t="s">
        <v>24</v>
      </c>
      <c r="C9" s="9">
        <v>1</v>
      </c>
      <c r="D9" s="9" t="s">
        <v>23</v>
      </c>
      <c r="E9" s="9" t="s">
        <v>23</v>
      </c>
      <c r="F9" s="9" t="s">
        <v>23</v>
      </c>
      <c r="G9" s="9"/>
      <c r="H9" s="9"/>
      <c r="I9" s="66"/>
    </row>
    <row r="10" spans="1:26">
      <c r="A10" s="8"/>
      <c r="B10" s="9"/>
      <c r="C10" s="9"/>
      <c r="D10" s="9"/>
      <c r="E10" s="9"/>
      <c r="F10" s="9"/>
      <c r="G10" s="9"/>
      <c r="H10" s="9"/>
      <c r="I10" s="66"/>
    </row>
    <row r="11" spans="1:26">
      <c r="A11" s="8"/>
      <c r="B11" s="9"/>
      <c r="C11" s="9"/>
      <c r="D11" s="9"/>
      <c r="E11" s="9"/>
      <c r="F11" s="9"/>
      <c r="G11" s="9"/>
      <c r="H11" s="9"/>
      <c r="I11" s="10"/>
    </row>
    <row r="12" spans="1:26">
      <c r="A12" s="67"/>
      <c r="B12" s="68"/>
      <c r="C12" s="14"/>
      <c r="D12" s="18"/>
      <c r="E12" s="18"/>
      <c r="F12" s="18"/>
      <c r="G12" s="18"/>
      <c r="H12" s="19"/>
      <c r="I12" s="10"/>
    </row>
    <row r="13" spans="1:26" ht="15.75" customHeight="1">
      <c r="A13" s="67"/>
      <c r="B13" s="68"/>
      <c r="C13" s="14"/>
      <c r="D13" s="18"/>
      <c r="E13" s="18"/>
      <c r="F13" s="18"/>
      <c r="G13" s="18"/>
      <c r="H13" s="19"/>
      <c r="I13" s="66"/>
    </row>
    <row r="14" spans="1:26" ht="15.75" customHeight="1">
      <c r="A14" s="67"/>
      <c r="B14" s="68"/>
      <c r="C14" s="14"/>
      <c r="D14" s="18"/>
      <c r="E14" s="18"/>
      <c r="F14" s="18"/>
      <c r="G14" s="18"/>
      <c r="H14" s="19"/>
      <c r="I14" s="66"/>
    </row>
    <row r="15" spans="1:26" ht="15.75" customHeight="1">
      <c r="A15" s="67"/>
      <c r="B15" s="68"/>
      <c r="C15" s="14"/>
      <c r="D15" s="18"/>
      <c r="E15" s="18"/>
      <c r="F15" s="18"/>
      <c r="G15" s="18"/>
      <c r="H15" s="19"/>
      <c r="I15" s="66"/>
    </row>
    <row r="16" spans="1:26" ht="15.75" customHeight="1">
      <c r="A16" s="67"/>
      <c r="B16" s="68"/>
      <c r="C16" s="14"/>
      <c r="D16" s="14"/>
      <c r="E16" s="18"/>
      <c r="F16" s="18"/>
      <c r="G16" s="14"/>
      <c r="H16" s="18"/>
      <c r="I16" s="66"/>
    </row>
    <row r="17" spans="1:9" ht="15.75" customHeight="1">
      <c r="A17" s="67"/>
      <c r="B17" s="68"/>
      <c r="C17" s="14"/>
      <c r="D17" s="14"/>
      <c r="E17" s="18"/>
      <c r="F17" s="18"/>
      <c r="G17" s="14"/>
      <c r="H17" s="19"/>
      <c r="I17" s="66"/>
    </row>
    <row r="18" spans="1:9" ht="15.75" customHeight="1">
      <c r="A18" s="67"/>
      <c r="B18" s="68"/>
      <c r="C18" s="14"/>
      <c r="D18" s="14"/>
      <c r="E18" s="18"/>
      <c r="F18" s="18"/>
      <c r="G18" s="14"/>
      <c r="H18" s="18"/>
      <c r="I18" s="66"/>
    </row>
    <row r="19" spans="1:9">
      <c r="A19" s="67"/>
      <c r="B19" s="68"/>
      <c r="C19" s="14"/>
      <c r="D19" s="14"/>
      <c r="E19" s="18"/>
      <c r="F19" s="18"/>
      <c r="G19" s="14"/>
      <c r="H19" s="19"/>
      <c r="I19" s="66"/>
    </row>
    <row r="20" spans="1:9" ht="15.75" customHeight="1">
      <c r="A20" s="67"/>
      <c r="B20" s="68"/>
      <c r="C20" s="14"/>
      <c r="D20" s="14"/>
      <c r="E20" s="18"/>
      <c r="F20" s="18"/>
      <c r="G20" s="14"/>
      <c r="H20" s="19"/>
      <c r="I20" s="66"/>
    </row>
    <row r="21" spans="1:9" ht="15.75" customHeight="1">
      <c r="A21" s="67"/>
      <c r="B21" s="68"/>
      <c r="C21" s="14"/>
      <c r="D21" s="14"/>
      <c r="E21" s="18"/>
      <c r="F21" s="18"/>
      <c r="G21" s="14"/>
      <c r="H21" s="19"/>
      <c r="I21" s="10"/>
    </row>
    <row r="22" spans="1:9" ht="15.75" customHeight="1">
      <c r="A22" s="67"/>
      <c r="B22" s="68"/>
      <c r="C22" s="14"/>
      <c r="D22" s="14"/>
      <c r="E22" s="18"/>
      <c r="F22" s="18"/>
      <c r="G22" s="14"/>
      <c r="H22" s="18"/>
      <c r="I22" s="10"/>
    </row>
    <row r="23" spans="1:9" ht="15.75" customHeight="1">
      <c r="A23" s="67"/>
      <c r="B23" s="69"/>
      <c r="C23" s="14"/>
      <c r="D23" s="20"/>
      <c r="E23" s="18"/>
      <c r="F23" s="18"/>
      <c r="G23" s="70"/>
      <c r="H23" s="19"/>
      <c r="I23" s="10"/>
    </row>
    <row r="24" spans="1:9" ht="15.75" customHeight="1">
      <c r="A24" s="71"/>
      <c r="B24" s="69"/>
      <c r="C24" s="72"/>
      <c r="D24" s="20"/>
      <c r="E24" s="20"/>
      <c r="F24" s="20"/>
      <c r="G24" s="70"/>
      <c r="H24" s="19"/>
      <c r="I24" s="10"/>
    </row>
    <row r="25" spans="1:9" ht="15.75" customHeight="1">
      <c r="A25" s="71"/>
      <c r="B25" s="69"/>
      <c r="C25" s="72"/>
      <c r="D25" s="20"/>
      <c r="E25" s="20"/>
      <c r="F25" s="20"/>
      <c r="G25" s="70"/>
      <c r="H25" s="19"/>
      <c r="I25" s="10"/>
    </row>
    <row r="26" spans="1:9" ht="15.75" customHeight="1">
      <c r="A26" s="71"/>
      <c r="B26" s="69"/>
      <c r="C26" s="72"/>
      <c r="D26" s="20"/>
      <c r="E26" s="20"/>
      <c r="F26" s="20"/>
      <c r="G26" s="70"/>
      <c r="H26" s="19"/>
      <c r="I26" s="10"/>
    </row>
    <row r="27" spans="1:9" ht="15.75" customHeight="1">
      <c r="A27" s="71"/>
      <c r="B27" s="69"/>
      <c r="C27" s="73"/>
      <c r="D27" s="25"/>
      <c r="E27" s="25"/>
      <c r="F27" s="25"/>
      <c r="G27" s="74"/>
      <c r="H27" s="19"/>
      <c r="I27" s="10"/>
    </row>
    <row r="28" spans="1:9" ht="15.75" customHeight="1">
      <c r="A28" s="71"/>
      <c r="B28" s="69"/>
      <c r="C28" s="73"/>
      <c r="D28" s="25"/>
      <c r="E28" s="25"/>
      <c r="F28" s="25"/>
      <c r="G28" s="74"/>
      <c r="H28" s="19"/>
      <c r="I28" s="10"/>
    </row>
    <row r="29" spans="1:9" ht="15.75" customHeight="1">
      <c r="A29" s="71"/>
      <c r="B29" s="69"/>
      <c r="C29" s="73"/>
      <c r="D29" s="25"/>
      <c r="E29" s="25"/>
      <c r="F29" s="25"/>
      <c r="G29" s="74"/>
      <c r="H29" s="19"/>
      <c r="I29" s="10"/>
    </row>
    <row r="30" spans="1:9" ht="15.75" customHeight="1">
      <c r="A30" s="71"/>
      <c r="B30" s="69"/>
      <c r="C30" s="73"/>
      <c r="D30" s="25"/>
      <c r="E30" s="25"/>
      <c r="F30" s="25"/>
      <c r="G30" s="74"/>
      <c r="H30" s="19"/>
      <c r="I30" s="10"/>
    </row>
    <row r="31" spans="1:9" ht="15.75" customHeight="1">
      <c r="A31" s="73"/>
      <c r="B31" s="73"/>
      <c r="C31" s="73"/>
      <c r="D31" s="75"/>
      <c r="E31" s="75"/>
      <c r="F31" s="75"/>
      <c r="G31" s="76"/>
      <c r="H31" s="19"/>
      <c r="I31" s="10"/>
    </row>
    <row r="32" spans="1:9" ht="15.75" customHeight="1">
      <c r="A32" s="161">
        <f>SUM(C7:C31)</f>
        <v>2</v>
      </c>
      <c r="B32" s="130"/>
      <c r="C32" s="131"/>
      <c r="D32" s="77">
        <v>16</v>
      </c>
      <c r="E32" s="77">
        <f>(COUNTIF(E7:E31,"SI")*1+COUNTIF(E7:E31,"NO")*0+COUNTIF(E7:E31,"NA")*0)</f>
        <v>2</v>
      </c>
      <c r="F32" s="77">
        <f>(COUNTIF(F8:F31,"SI")*1+COUNTIF(F8:F31,"NO")*0+COUNTIF(F8:F31,"NA")*0)</f>
        <v>2</v>
      </c>
      <c r="G32" s="77">
        <v>12</v>
      </c>
      <c r="H32" s="162"/>
      <c r="I32" s="10"/>
    </row>
    <row r="33" spans="1:9" ht="15.75" customHeight="1">
      <c r="A33" s="134"/>
      <c r="B33" s="135"/>
      <c r="C33" s="136"/>
      <c r="D33" s="78">
        <f>(D32/A32)</f>
        <v>8</v>
      </c>
      <c r="E33" s="78">
        <f>(E32/A32)</f>
        <v>1</v>
      </c>
      <c r="F33" s="78">
        <f>(F32/A32)</f>
        <v>1</v>
      </c>
      <c r="G33" s="78">
        <f>(G32/A32)</f>
        <v>6</v>
      </c>
      <c r="H33" s="133"/>
      <c r="I33" s="10"/>
    </row>
    <row r="34" spans="1:9" ht="15.75" customHeight="1">
      <c r="A34" s="154" t="s">
        <v>26</v>
      </c>
      <c r="B34" s="140"/>
      <c r="C34" s="138"/>
      <c r="D34" s="155">
        <f>SUM(D33+E33+F33)/3</f>
        <v>3.3333333333333335</v>
      </c>
      <c r="E34" s="140"/>
      <c r="F34" s="140"/>
      <c r="G34" s="138"/>
      <c r="H34" s="136"/>
      <c r="I34" s="10"/>
    </row>
    <row r="35" spans="1:9" ht="15.75" customHeight="1">
      <c r="A35" s="156" t="s">
        <v>63</v>
      </c>
      <c r="B35" s="135"/>
      <c r="C35" s="135"/>
      <c r="D35" s="135"/>
      <c r="E35" s="135"/>
      <c r="F35" s="135"/>
      <c r="G35" s="135"/>
      <c r="H35" s="136"/>
      <c r="I35" s="10"/>
    </row>
    <row r="36" spans="1:9" ht="15.75" customHeight="1">
      <c r="A36" s="157" t="s">
        <v>64</v>
      </c>
      <c r="B36" s="140"/>
      <c r="C36" s="140"/>
      <c r="D36" s="140"/>
      <c r="E36" s="140"/>
      <c r="F36" s="140"/>
      <c r="G36" s="140"/>
      <c r="H36" s="138"/>
      <c r="I36" s="10"/>
    </row>
    <row r="37" spans="1:9" ht="15.75" customHeight="1">
      <c r="A37" s="158" t="s">
        <v>65</v>
      </c>
      <c r="B37" s="140"/>
      <c r="C37" s="140"/>
      <c r="D37" s="140"/>
      <c r="E37" s="140"/>
      <c r="F37" s="140"/>
      <c r="G37" s="140"/>
      <c r="H37" s="138"/>
      <c r="I37" s="10"/>
    </row>
    <row r="38" spans="1:9" ht="15.75" customHeight="1">
      <c r="A38" s="159" t="s">
        <v>66</v>
      </c>
      <c r="B38" s="140"/>
      <c r="C38" s="140"/>
      <c r="D38" s="140"/>
      <c r="E38" s="140"/>
      <c r="F38" s="140"/>
      <c r="G38" s="140"/>
      <c r="H38" s="138"/>
      <c r="I38" s="10"/>
    </row>
    <row r="39" spans="1:9" ht="15.75" customHeight="1">
      <c r="D39" s="37"/>
      <c r="E39" s="37"/>
      <c r="F39" s="37"/>
      <c r="I39" s="10"/>
    </row>
    <row r="40" spans="1:9" ht="15.75" customHeight="1">
      <c r="D40" s="37"/>
      <c r="E40" s="37"/>
      <c r="F40" s="37"/>
      <c r="I40" s="10"/>
    </row>
    <row r="41" spans="1:9" ht="15.75" customHeight="1">
      <c r="D41" s="37"/>
      <c r="E41" s="37"/>
      <c r="F41" s="37"/>
    </row>
    <row r="42" spans="1:9" ht="15.75" customHeight="1">
      <c r="D42" s="37"/>
      <c r="E42" s="37"/>
      <c r="F42" s="37"/>
    </row>
    <row r="43" spans="1:9" ht="15.75" customHeight="1">
      <c r="D43" s="37"/>
      <c r="E43" s="37"/>
      <c r="F43" s="37"/>
    </row>
    <row r="44" spans="1:9" ht="15.75" customHeight="1">
      <c r="D44" s="37"/>
      <c r="E44" s="37"/>
      <c r="F44" s="37"/>
    </row>
    <row r="45" spans="1:9" ht="15.75" customHeight="1">
      <c r="D45" s="37"/>
      <c r="E45" s="37"/>
      <c r="F45" s="37"/>
    </row>
    <row r="46" spans="1:9" ht="15.75" customHeight="1">
      <c r="D46" s="37"/>
      <c r="E46" s="37"/>
      <c r="F46" s="37"/>
    </row>
    <row r="47" spans="1:9" ht="15.75" customHeight="1">
      <c r="D47" s="37"/>
      <c r="E47" s="37"/>
      <c r="F47" s="37"/>
    </row>
    <row r="48" spans="1:9" ht="15.75" customHeight="1">
      <c r="D48" s="37"/>
      <c r="E48" s="37"/>
      <c r="F48" s="37"/>
    </row>
    <row r="49" spans="4:6" ht="15.75" customHeight="1">
      <c r="D49" s="37"/>
      <c r="E49" s="37"/>
      <c r="F49" s="37"/>
    </row>
    <row r="50" spans="4:6" ht="15.75" customHeight="1">
      <c r="D50" s="37"/>
      <c r="E50" s="37"/>
      <c r="F50" s="37"/>
    </row>
    <row r="51" spans="4:6" ht="15.75" customHeight="1">
      <c r="D51" s="37"/>
      <c r="E51" s="37"/>
      <c r="F51" s="37"/>
    </row>
    <row r="52" spans="4:6" ht="15.75" customHeight="1">
      <c r="D52" s="37"/>
      <c r="E52" s="37"/>
      <c r="F52" s="37"/>
    </row>
    <row r="53" spans="4:6" ht="15.75" customHeight="1">
      <c r="D53" s="37"/>
      <c r="E53" s="37"/>
      <c r="F53" s="37"/>
    </row>
    <row r="54" spans="4:6" ht="15.75" customHeight="1">
      <c r="D54" s="37"/>
      <c r="E54" s="37"/>
      <c r="F54" s="37"/>
    </row>
    <row r="55" spans="4:6" ht="15.75" customHeight="1">
      <c r="D55" s="37"/>
      <c r="E55" s="37"/>
      <c r="F55" s="37"/>
    </row>
    <row r="56" spans="4:6" ht="15.75" customHeight="1">
      <c r="D56" s="37"/>
      <c r="E56" s="37"/>
      <c r="F56" s="37"/>
    </row>
    <row r="57" spans="4:6" ht="15.75" customHeight="1">
      <c r="D57" s="37"/>
      <c r="E57" s="37"/>
      <c r="F57" s="37"/>
    </row>
    <row r="58" spans="4:6" ht="15.75" customHeight="1">
      <c r="D58" s="37"/>
      <c r="E58" s="37"/>
      <c r="F58" s="37"/>
    </row>
    <row r="59" spans="4:6" ht="15.75" customHeight="1">
      <c r="D59" s="37"/>
      <c r="E59" s="37"/>
      <c r="F59" s="37"/>
    </row>
    <row r="60" spans="4:6" ht="15.75" customHeight="1">
      <c r="D60" s="37"/>
      <c r="E60" s="37"/>
      <c r="F60" s="37"/>
    </row>
    <row r="61" spans="4:6" ht="15.75" customHeight="1">
      <c r="D61" s="37"/>
      <c r="E61" s="37"/>
      <c r="F61" s="37"/>
    </row>
    <row r="62" spans="4:6" ht="15.75" customHeight="1">
      <c r="D62" s="37"/>
      <c r="E62" s="37"/>
      <c r="F62" s="37"/>
    </row>
    <row r="63" spans="4:6" ht="15.75" customHeight="1">
      <c r="D63" s="37"/>
      <c r="E63" s="37"/>
      <c r="F63" s="37"/>
    </row>
    <row r="64" spans="4:6" ht="15.75" customHeight="1">
      <c r="D64" s="37"/>
      <c r="E64" s="37"/>
      <c r="F64" s="37"/>
    </row>
    <row r="65" spans="4:6" ht="15.75" customHeight="1">
      <c r="D65" s="37"/>
      <c r="E65" s="37"/>
      <c r="F65" s="37"/>
    </row>
    <row r="66" spans="4:6" ht="15.75" customHeight="1">
      <c r="D66" s="37"/>
      <c r="E66" s="37"/>
      <c r="F66" s="37"/>
    </row>
    <row r="67" spans="4:6" ht="15.75" customHeight="1">
      <c r="D67" s="37"/>
      <c r="E67" s="37"/>
      <c r="F67" s="37"/>
    </row>
    <row r="68" spans="4:6" ht="15.75" customHeight="1">
      <c r="D68" s="37"/>
      <c r="E68" s="37"/>
      <c r="F68" s="37"/>
    </row>
    <row r="69" spans="4:6" ht="15.75" customHeight="1">
      <c r="D69" s="37"/>
      <c r="E69" s="37"/>
      <c r="F69" s="37"/>
    </row>
    <row r="70" spans="4:6" ht="15.75" customHeight="1">
      <c r="D70" s="37"/>
      <c r="E70" s="37"/>
      <c r="F70" s="37"/>
    </row>
    <row r="71" spans="4:6" ht="15.75" customHeight="1">
      <c r="D71" s="37"/>
      <c r="E71" s="37"/>
      <c r="F71" s="37"/>
    </row>
    <row r="72" spans="4:6" ht="15.75" customHeight="1">
      <c r="D72" s="37"/>
      <c r="E72" s="37"/>
      <c r="F72" s="37"/>
    </row>
    <row r="73" spans="4:6" ht="15.75" customHeight="1">
      <c r="D73" s="37"/>
      <c r="E73" s="37"/>
      <c r="F73" s="37"/>
    </row>
    <row r="74" spans="4:6" ht="15.75" customHeight="1">
      <c r="D74" s="37"/>
      <c r="E74" s="37"/>
      <c r="F74" s="37"/>
    </row>
    <row r="75" spans="4:6" ht="15.75" customHeight="1">
      <c r="D75" s="37"/>
      <c r="E75" s="37"/>
      <c r="F75" s="37"/>
    </row>
    <row r="76" spans="4:6" ht="15.75" customHeight="1">
      <c r="D76" s="37"/>
      <c r="E76" s="37"/>
      <c r="F76" s="37"/>
    </row>
    <row r="77" spans="4:6" ht="15.75" customHeight="1">
      <c r="D77" s="37"/>
      <c r="E77" s="37"/>
      <c r="F77" s="37"/>
    </row>
    <row r="78" spans="4:6" ht="15.75" customHeight="1">
      <c r="D78" s="37"/>
      <c r="E78" s="37"/>
      <c r="F78" s="37"/>
    </row>
    <row r="79" spans="4:6" ht="15.75" customHeight="1">
      <c r="D79" s="37"/>
      <c r="E79" s="37"/>
      <c r="F79" s="37"/>
    </row>
    <row r="80" spans="4:6" ht="15.75" customHeight="1">
      <c r="D80" s="37"/>
      <c r="E80" s="37"/>
      <c r="F80" s="37"/>
    </row>
    <row r="81" spans="4:6" ht="15.75" customHeight="1">
      <c r="D81" s="37"/>
      <c r="E81" s="37"/>
      <c r="F81" s="37"/>
    </row>
    <row r="82" spans="4:6" ht="15.75" customHeight="1">
      <c r="D82" s="37"/>
      <c r="E82" s="37"/>
      <c r="F82" s="37"/>
    </row>
    <row r="83" spans="4:6" ht="15.75" customHeight="1">
      <c r="D83" s="37"/>
      <c r="E83" s="37"/>
      <c r="F83" s="37"/>
    </row>
    <row r="84" spans="4:6" ht="15.75" customHeight="1">
      <c r="D84" s="37"/>
      <c r="E84" s="37"/>
      <c r="F84" s="37"/>
    </row>
    <row r="85" spans="4:6" ht="15.75" customHeight="1">
      <c r="D85" s="37"/>
      <c r="E85" s="37"/>
      <c r="F85" s="37"/>
    </row>
    <row r="86" spans="4:6" ht="15.75" customHeight="1">
      <c r="D86" s="37"/>
      <c r="E86" s="37"/>
      <c r="F86" s="37"/>
    </row>
    <row r="87" spans="4:6" ht="15.75" customHeight="1">
      <c r="D87" s="37"/>
      <c r="E87" s="37"/>
      <c r="F87" s="37"/>
    </row>
    <row r="88" spans="4:6" ht="15.75" customHeight="1">
      <c r="D88" s="37"/>
      <c r="E88" s="37"/>
      <c r="F88" s="37"/>
    </row>
    <row r="89" spans="4:6" ht="15.75" customHeight="1">
      <c r="D89" s="37"/>
      <c r="E89" s="37"/>
      <c r="F89" s="37"/>
    </row>
    <row r="90" spans="4:6" ht="15.75" customHeight="1">
      <c r="D90" s="37"/>
      <c r="E90" s="37"/>
      <c r="F90" s="37"/>
    </row>
    <row r="91" spans="4:6" ht="15.75" customHeight="1">
      <c r="D91" s="37"/>
      <c r="E91" s="37"/>
      <c r="F91" s="37"/>
    </row>
    <row r="92" spans="4:6" ht="15.75" customHeight="1">
      <c r="D92" s="37"/>
      <c r="E92" s="37"/>
      <c r="F92" s="37"/>
    </row>
    <row r="93" spans="4:6" ht="15.75" customHeight="1">
      <c r="D93" s="37"/>
      <c r="E93" s="37"/>
      <c r="F93" s="37"/>
    </row>
    <row r="94" spans="4:6" ht="15.75" customHeight="1">
      <c r="D94" s="37"/>
      <c r="E94" s="37"/>
      <c r="F94" s="37"/>
    </row>
    <row r="95" spans="4:6" ht="15.75" customHeight="1">
      <c r="D95" s="37"/>
      <c r="E95" s="37"/>
      <c r="F95" s="37"/>
    </row>
    <row r="96" spans="4:6" ht="15.75" customHeight="1">
      <c r="D96" s="37"/>
      <c r="E96" s="37"/>
      <c r="F96" s="37"/>
    </row>
    <row r="97" spans="4:6" ht="15.75" customHeight="1">
      <c r="D97" s="37"/>
      <c r="E97" s="37"/>
      <c r="F97" s="37"/>
    </row>
    <row r="98" spans="4:6" ht="15.75" customHeight="1">
      <c r="D98" s="37"/>
      <c r="E98" s="37"/>
      <c r="F98" s="37"/>
    </row>
    <row r="99" spans="4:6" ht="15.75" customHeight="1">
      <c r="D99" s="37"/>
      <c r="E99" s="37"/>
      <c r="F99" s="37"/>
    </row>
    <row r="100" spans="4:6" ht="15.75" customHeight="1">
      <c r="D100" s="37"/>
      <c r="E100" s="37"/>
      <c r="F100" s="37"/>
    </row>
    <row r="101" spans="4:6" ht="15.75" customHeight="1">
      <c r="D101" s="37"/>
      <c r="E101" s="37"/>
      <c r="F101" s="37"/>
    </row>
    <row r="102" spans="4:6" ht="15.75" customHeight="1">
      <c r="D102" s="37"/>
      <c r="E102" s="37"/>
      <c r="F102" s="37"/>
    </row>
    <row r="103" spans="4:6" ht="15.75" customHeight="1">
      <c r="D103" s="37"/>
      <c r="E103" s="37"/>
      <c r="F103" s="37"/>
    </row>
    <row r="104" spans="4:6" ht="15.75" customHeight="1">
      <c r="D104" s="37"/>
      <c r="E104" s="37"/>
      <c r="F104" s="37"/>
    </row>
    <row r="105" spans="4:6" ht="15.75" customHeight="1">
      <c r="D105" s="37"/>
      <c r="E105" s="37"/>
      <c r="F105" s="37"/>
    </row>
    <row r="106" spans="4:6" ht="15.75" customHeight="1">
      <c r="D106" s="37"/>
      <c r="E106" s="37"/>
      <c r="F106" s="37"/>
    </row>
    <row r="107" spans="4:6" ht="15.75" customHeight="1">
      <c r="D107" s="37"/>
      <c r="E107" s="37"/>
      <c r="F107" s="37"/>
    </row>
    <row r="108" spans="4:6" ht="15.75" customHeight="1">
      <c r="D108" s="37"/>
      <c r="E108" s="37"/>
      <c r="F108" s="37"/>
    </row>
    <row r="109" spans="4:6" ht="15.75" customHeight="1">
      <c r="D109" s="37"/>
      <c r="E109" s="37"/>
      <c r="F109" s="37"/>
    </row>
    <row r="110" spans="4:6" ht="15.75" customHeight="1">
      <c r="D110" s="37"/>
      <c r="E110" s="37"/>
      <c r="F110" s="37"/>
    </row>
    <row r="111" spans="4:6" ht="15.75" customHeight="1">
      <c r="D111" s="37"/>
      <c r="E111" s="37"/>
      <c r="F111" s="37"/>
    </row>
    <row r="112" spans="4:6" ht="15.75" customHeight="1">
      <c r="D112" s="37"/>
      <c r="E112" s="37"/>
      <c r="F112" s="37"/>
    </row>
    <row r="113" spans="4:6" ht="15.75" customHeight="1">
      <c r="D113" s="37"/>
      <c r="E113" s="37"/>
      <c r="F113" s="37"/>
    </row>
    <row r="114" spans="4:6" ht="15.75" customHeight="1">
      <c r="D114" s="37"/>
      <c r="E114" s="37"/>
      <c r="F114" s="37"/>
    </row>
    <row r="115" spans="4:6" ht="15.75" customHeight="1">
      <c r="D115" s="37"/>
      <c r="E115" s="37"/>
      <c r="F115" s="37"/>
    </row>
    <row r="116" spans="4:6" ht="15.75" customHeight="1">
      <c r="D116" s="37"/>
      <c r="E116" s="37"/>
      <c r="F116" s="37"/>
    </row>
    <row r="117" spans="4:6" ht="15.75" customHeight="1">
      <c r="D117" s="37"/>
      <c r="E117" s="37"/>
      <c r="F117" s="37"/>
    </row>
    <row r="118" spans="4:6" ht="15.75" customHeight="1">
      <c r="D118" s="37"/>
      <c r="E118" s="37"/>
      <c r="F118" s="37"/>
    </row>
    <row r="119" spans="4:6" ht="15.75" customHeight="1">
      <c r="D119" s="37"/>
      <c r="E119" s="37"/>
      <c r="F119" s="37"/>
    </row>
    <row r="120" spans="4:6" ht="15.75" customHeight="1">
      <c r="D120" s="37"/>
      <c r="E120" s="37"/>
      <c r="F120" s="37"/>
    </row>
    <row r="121" spans="4:6" ht="15.75" customHeight="1">
      <c r="D121" s="37"/>
      <c r="E121" s="37"/>
      <c r="F121" s="37"/>
    </row>
    <row r="122" spans="4:6" ht="15.75" customHeight="1">
      <c r="D122" s="37"/>
      <c r="E122" s="37"/>
      <c r="F122" s="37"/>
    </row>
    <row r="123" spans="4:6" ht="15.75" customHeight="1">
      <c r="D123" s="37"/>
      <c r="E123" s="37"/>
      <c r="F123" s="37"/>
    </row>
    <row r="124" spans="4:6" ht="15.75" customHeight="1">
      <c r="D124" s="37"/>
      <c r="E124" s="37"/>
      <c r="F124" s="37"/>
    </row>
    <row r="125" spans="4:6" ht="15.75" customHeight="1">
      <c r="D125" s="37"/>
      <c r="E125" s="37"/>
      <c r="F125" s="37"/>
    </row>
    <row r="126" spans="4:6" ht="15.75" customHeight="1">
      <c r="D126" s="37"/>
      <c r="E126" s="37"/>
      <c r="F126" s="37"/>
    </row>
    <row r="127" spans="4:6" ht="15.75" customHeight="1">
      <c r="D127" s="37"/>
      <c r="E127" s="37"/>
      <c r="F127" s="37"/>
    </row>
    <row r="128" spans="4:6" ht="15.75" customHeight="1">
      <c r="D128" s="37"/>
      <c r="E128" s="37"/>
      <c r="F128" s="37"/>
    </row>
    <row r="129" spans="4:6" ht="15.75" customHeight="1">
      <c r="D129" s="37"/>
      <c r="E129" s="37"/>
      <c r="F129" s="37"/>
    </row>
    <row r="130" spans="4:6" ht="15.75" customHeight="1">
      <c r="D130" s="37"/>
      <c r="E130" s="37"/>
      <c r="F130" s="37"/>
    </row>
    <row r="131" spans="4:6" ht="15.75" customHeight="1">
      <c r="D131" s="37"/>
      <c r="E131" s="37"/>
      <c r="F131" s="37"/>
    </row>
    <row r="132" spans="4:6" ht="15.75" customHeight="1">
      <c r="D132" s="37"/>
      <c r="E132" s="37"/>
      <c r="F132" s="37"/>
    </row>
    <row r="133" spans="4:6" ht="15.75" customHeight="1">
      <c r="D133" s="37"/>
      <c r="E133" s="37"/>
      <c r="F133" s="37"/>
    </row>
    <row r="134" spans="4:6" ht="15.75" customHeight="1">
      <c r="D134" s="37"/>
      <c r="E134" s="37"/>
      <c r="F134" s="37"/>
    </row>
    <row r="135" spans="4:6" ht="15.75" customHeight="1">
      <c r="D135" s="37"/>
      <c r="E135" s="37"/>
      <c r="F135" s="37"/>
    </row>
    <row r="136" spans="4:6" ht="15.75" customHeight="1">
      <c r="D136" s="37"/>
      <c r="E136" s="37"/>
      <c r="F136" s="37"/>
    </row>
    <row r="137" spans="4:6" ht="15.75" customHeight="1">
      <c r="D137" s="37"/>
      <c r="E137" s="37"/>
      <c r="F137" s="37"/>
    </row>
    <row r="138" spans="4:6" ht="15.75" customHeight="1">
      <c r="D138" s="37"/>
      <c r="E138" s="37"/>
      <c r="F138" s="37"/>
    </row>
    <row r="139" spans="4:6" ht="15.75" customHeight="1">
      <c r="D139" s="37"/>
      <c r="E139" s="37"/>
      <c r="F139" s="37"/>
    </row>
    <row r="140" spans="4:6" ht="15.75" customHeight="1">
      <c r="D140" s="37"/>
      <c r="E140" s="37"/>
      <c r="F140" s="37"/>
    </row>
    <row r="141" spans="4:6" ht="15.75" customHeight="1">
      <c r="D141" s="37"/>
      <c r="E141" s="37"/>
      <c r="F141" s="37"/>
    </row>
    <row r="142" spans="4:6" ht="15.75" customHeight="1">
      <c r="D142" s="37"/>
      <c r="E142" s="37"/>
      <c r="F142" s="37"/>
    </row>
    <row r="143" spans="4:6" ht="15.75" customHeight="1">
      <c r="D143" s="37"/>
      <c r="E143" s="37"/>
      <c r="F143" s="37"/>
    </row>
    <row r="144" spans="4:6" ht="15.75" customHeight="1">
      <c r="D144" s="37"/>
      <c r="E144" s="37"/>
      <c r="F144" s="37"/>
    </row>
    <row r="145" spans="4:6" ht="15.75" customHeight="1">
      <c r="D145" s="37"/>
      <c r="E145" s="37"/>
      <c r="F145" s="37"/>
    </row>
    <row r="146" spans="4:6" ht="15.75" customHeight="1">
      <c r="D146" s="37"/>
      <c r="E146" s="37"/>
      <c r="F146" s="37"/>
    </row>
    <row r="147" spans="4:6" ht="15.75" customHeight="1">
      <c r="D147" s="37"/>
      <c r="E147" s="37"/>
      <c r="F147" s="37"/>
    </row>
    <row r="148" spans="4:6" ht="15.75" customHeight="1">
      <c r="D148" s="37"/>
      <c r="E148" s="37"/>
      <c r="F148" s="37"/>
    </row>
    <row r="149" spans="4:6" ht="15.75" customHeight="1">
      <c r="D149" s="37"/>
      <c r="E149" s="37"/>
      <c r="F149" s="37"/>
    </row>
    <row r="150" spans="4:6" ht="15.75" customHeight="1">
      <c r="D150" s="37"/>
      <c r="E150" s="37"/>
      <c r="F150" s="37"/>
    </row>
    <row r="151" spans="4:6" ht="15.75" customHeight="1">
      <c r="D151" s="37"/>
      <c r="E151" s="37"/>
      <c r="F151" s="37"/>
    </row>
    <row r="152" spans="4:6" ht="15.75" customHeight="1">
      <c r="D152" s="37"/>
      <c r="E152" s="37"/>
      <c r="F152" s="37"/>
    </row>
    <row r="153" spans="4:6" ht="15.75" customHeight="1">
      <c r="D153" s="37"/>
      <c r="E153" s="37"/>
      <c r="F153" s="37"/>
    </row>
    <row r="154" spans="4:6" ht="15.75" customHeight="1">
      <c r="D154" s="37"/>
      <c r="E154" s="37"/>
      <c r="F154" s="37"/>
    </row>
    <row r="155" spans="4:6" ht="15.75" customHeight="1">
      <c r="D155" s="37"/>
      <c r="E155" s="37"/>
      <c r="F155" s="37"/>
    </row>
    <row r="156" spans="4:6" ht="15.75" customHeight="1">
      <c r="D156" s="37"/>
      <c r="E156" s="37"/>
      <c r="F156" s="37"/>
    </row>
    <row r="157" spans="4:6" ht="15.75" customHeight="1">
      <c r="D157" s="37"/>
      <c r="E157" s="37"/>
      <c r="F157" s="37"/>
    </row>
    <row r="158" spans="4:6" ht="15.75" customHeight="1">
      <c r="D158" s="37"/>
      <c r="E158" s="37"/>
      <c r="F158" s="37"/>
    </row>
    <row r="159" spans="4:6" ht="15.75" customHeight="1">
      <c r="D159" s="37"/>
      <c r="E159" s="37"/>
      <c r="F159" s="37"/>
    </row>
    <row r="160" spans="4:6" ht="15.75" customHeight="1">
      <c r="D160" s="37"/>
      <c r="E160" s="37"/>
      <c r="F160" s="37"/>
    </row>
    <row r="161" spans="4:6" ht="15.75" customHeight="1">
      <c r="D161" s="37"/>
      <c r="E161" s="37"/>
      <c r="F161" s="37"/>
    </row>
    <row r="162" spans="4:6" ht="15.75" customHeight="1">
      <c r="D162" s="37"/>
      <c r="E162" s="37"/>
      <c r="F162" s="37"/>
    </row>
    <row r="163" spans="4:6" ht="15.75" customHeight="1">
      <c r="D163" s="37"/>
      <c r="E163" s="37"/>
      <c r="F163" s="37"/>
    </row>
    <row r="164" spans="4:6" ht="15.75" customHeight="1">
      <c r="D164" s="37"/>
      <c r="E164" s="37"/>
      <c r="F164" s="37"/>
    </row>
    <row r="165" spans="4:6" ht="15.75" customHeight="1">
      <c r="D165" s="37"/>
      <c r="E165" s="37"/>
      <c r="F165" s="37"/>
    </row>
    <row r="166" spans="4:6" ht="15.75" customHeight="1">
      <c r="D166" s="37"/>
      <c r="E166" s="37"/>
      <c r="F166" s="37"/>
    </row>
    <row r="167" spans="4:6" ht="15.75" customHeight="1">
      <c r="D167" s="37"/>
      <c r="E167" s="37"/>
      <c r="F167" s="37"/>
    </row>
    <row r="168" spans="4:6" ht="15.75" customHeight="1">
      <c r="D168" s="37"/>
      <c r="E168" s="37"/>
      <c r="F168" s="37"/>
    </row>
    <row r="169" spans="4:6" ht="15.75" customHeight="1">
      <c r="D169" s="37"/>
      <c r="E169" s="37"/>
      <c r="F169" s="37"/>
    </row>
    <row r="170" spans="4:6" ht="15.75" customHeight="1">
      <c r="D170" s="37"/>
      <c r="E170" s="37"/>
      <c r="F170" s="37"/>
    </row>
    <row r="171" spans="4:6" ht="15.75" customHeight="1">
      <c r="D171" s="37"/>
      <c r="E171" s="37"/>
      <c r="F171" s="37"/>
    </row>
    <row r="172" spans="4:6" ht="15.75" customHeight="1">
      <c r="D172" s="37"/>
      <c r="E172" s="37"/>
      <c r="F172" s="37"/>
    </row>
    <row r="173" spans="4:6" ht="15.75" customHeight="1">
      <c r="D173" s="37"/>
      <c r="E173" s="37"/>
      <c r="F173" s="37"/>
    </row>
    <row r="174" spans="4:6" ht="15.75" customHeight="1">
      <c r="D174" s="37"/>
      <c r="E174" s="37"/>
      <c r="F174" s="37"/>
    </row>
    <row r="175" spans="4:6" ht="15.75" customHeight="1">
      <c r="D175" s="37"/>
      <c r="E175" s="37"/>
      <c r="F175" s="37"/>
    </row>
    <row r="176" spans="4:6" ht="15.75" customHeight="1">
      <c r="D176" s="37"/>
      <c r="E176" s="37"/>
      <c r="F176" s="37"/>
    </row>
    <row r="177" spans="4:6" ht="15.75" customHeight="1">
      <c r="D177" s="37"/>
      <c r="E177" s="37"/>
      <c r="F177" s="37"/>
    </row>
    <row r="178" spans="4:6" ht="15.75" customHeight="1">
      <c r="D178" s="37"/>
      <c r="E178" s="37"/>
      <c r="F178" s="37"/>
    </row>
    <row r="179" spans="4:6" ht="15.75" customHeight="1">
      <c r="D179" s="37"/>
      <c r="E179" s="37"/>
      <c r="F179" s="37"/>
    </row>
    <row r="180" spans="4:6" ht="15.75" customHeight="1">
      <c r="D180" s="37"/>
      <c r="E180" s="37"/>
      <c r="F180" s="37"/>
    </row>
    <row r="181" spans="4:6" ht="15.75" customHeight="1">
      <c r="D181" s="37"/>
      <c r="E181" s="37"/>
      <c r="F181" s="37"/>
    </row>
    <row r="182" spans="4:6" ht="15.75" customHeight="1">
      <c r="D182" s="37"/>
      <c r="E182" s="37"/>
      <c r="F182" s="37"/>
    </row>
    <row r="183" spans="4:6" ht="15.75" customHeight="1">
      <c r="D183" s="37"/>
      <c r="E183" s="37"/>
      <c r="F183" s="37"/>
    </row>
    <row r="184" spans="4:6" ht="15.75" customHeight="1">
      <c r="D184" s="37"/>
      <c r="E184" s="37"/>
      <c r="F184" s="37"/>
    </row>
    <row r="185" spans="4:6" ht="15.75" customHeight="1">
      <c r="D185" s="37"/>
      <c r="E185" s="37"/>
      <c r="F185" s="37"/>
    </row>
    <row r="186" spans="4:6" ht="15.75" customHeight="1">
      <c r="D186" s="37"/>
      <c r="E186" s="37"/>
      <c r="F186" s="37"/>
    </row>
    <row r="187" spans="4:6" ht="15.75" customHeight="1">
      <c r="D187" s="37"/>
      <c r="E187" s="37"/>
      <c r="F187" s="37"/>
    </row>
    <row r="188" spans="4:6" ht="15.75" customHeight="1">
      <c r="D188" s="37"/>
      <c r="E188" s="37"/>
      <c r="F188" s="37"/>
    </row>
    <row r="189" spans="4:6" ht="15.75" customHeight="1">
      <c r="D189" s="37"/>
      <c r="E189" s="37"/>
      <c r="F189" s="37"/>
    </row>
    <row r="190" spans="4:6" ht="15.75" customHeight="1">
      <c r="D190" s="37"/>
      <c r="E190" s="37"/>
      <c r="F190" s="37"/>
    </row>
    <row r="191" spans="4:6" ht="15.75" customHeight="1">
      <c r="D191" s="37"/>
      <c r="E191" s="37"/>
      <c r="F191" s="37"/>
    </row>
    <row r="192" spans="4:6" ht="15.75" customHeight="1">
      <c r="D192" s="37"/>
      <c r="E192" s="37"/>
      <c r="F192" s="37"/>
    </row>
    <row r="193" spans="4:6" ht="15.75" customHeight="1">
      <c r="D193" s="37"/>
      <c r="E193" s="37"/>
      <c r="F193" s="37"/>
    </row>
    <row r="194" spans="4:6" ht="15.75" customHeight="1">
      <c r="D194" s="37"/>
      <c r="E194" s="37"/>
      <c r="F194" s="37"/>
    </row>
    <row r="195" spans="4:6" ht="15.75" customHeight="1">
      <c r="D195" s="37"/>
      <c r="E195" s="37"/>
      <c r="F195" s="37"/>
    </row>
    <row r="196" spans="4:6" ht="15.75" customHeight="1">
      <c r="D196" s="37"/>
      <c r="E196" s="37"/>
      <c r="F196" s="37"/>
    </row>
    <row r="197" spans="4:6" ht="15.75" customHeight="1">
      <c r="D197" s="37"/>
      <c r="E197" s="37"/>
      <c r="F197" s="37"/>
    </row>
    <row r="198" spans="4:6" ht="15.75" customHeight="1">
      <c r="D198" s="37"/>
      <c r="E198" s="37"/>
      <c r="F198" s="37"/>
    </row>
    <row r="199" spans="4:6" ht="15.75" customHeight="1">
      <c r="D199" s="37"/>
      <c r="E199" s="37"/>
      <c r="F199" s="37"/>
    </row>
    <row r="200" spans="4:6" ht="15.75" customHeight="1">
      <c r="D200" s="37"/>
      <c r="E200" s="37"/>
      <c r="F200" s="37"/>
    </row>
    <row r="201" spans="4:6" ht="15.75" customHeight="1">
      <c r="D201" s="37"/>
      <c r="E201" s="37"/>
      <c r="F201" s="37"/>
    </row>
    <row r="202" spans="4:6" ht="15.75" customHeight="1">
      <c r="D202" s="37"/>
      <c r="E202" s="37"/>
      <c r="F202" s="37"/>
    </row>
    <row r="203" spans="4:6" ht="15.75" customHeight="1">
      <c r="D203" s="37"/>
      <c r="E203" s="37"/>
      <c r="F203" s="37"/>
    </row>
    <row r="204" spans="4:6" ht="15.75" customHeight="1">
      <c r="D204" s="37"/>
      <c r="E204" s="37"/>
      <c r="F204" s="37"/>
    </row>
    <row r="205" spans="4:6" ht="15.75" customHeight="1">
      <c r="D205" s="37"/>
      <c r="E205" s="37"/>
      <c r="F205" s="37"/>
    </row>
    <row r="206" spans="4:6" ht="15.75" customHeight="1">
      <c r="D206" s="37"/>
      <c r="E206" s="37"/>
      <c r="F206" s="37"/>
    </row>
    <row r="207" spans="4:6" ht="15.75" customHeight="1">
      <c r="D207" s="37"/>
      <c r="E207" s="37"/>
      <c r="F207" s="37"/>
    </row>
    <row r="208" spans="4:6" ht="15.75" customHeight="1">
      <c r="D208" s="37"/>
      <c r="E208" s="37"/>
      <c r="F208" s="37"/>
    </row>
    <row r="209" spans="4:6" ht="15.75" customHeight="1">
      <c r="D209" s="37"/>
      <c r="E209" s="37"/>
      <c r="F209" s="37"/>
    </row>
    <row r="210" spans="4:6" ht="15.75" customHeight="1">
      <c r="D210" s="37"/>
      <c r="E210" s="37"/>
      <c r="F210" s="37"/>
    </row>
    <row r="211" spans="4:6" ht="15.75" customHeight="1">
      <c r="D211" s="37"/>
      <c r="E211" s="37"/>
      <c r="F211" s="37"/>
    </row>
    <row r="212" spans="4:6" ht="15.75" customHeight="1">
      <c r="D212" s="37"/>
      <c r="E212" s="37"/>
      <c r="F212" s="37"/>
    </row>
    <row r="213" spans="4:6" ht="15.75" customHeight="1">
      <c r="D213" s="37"/>
      <c r="E213" s="37"/>
      <c r="F213" s="37"/>
    </row>
    <row r="214" spans="4:6" ht="15.75" customHeight="1">
      <c r="D214" s="37"/>
      <c r="E214" s="37"/>
      <c r="F214" s="37"/>
    </row>
    <row r="215" spans="4:6" ht="15.75" customHeight="1">
      <c r="D215" s="37"/>
      <c r="E215" s="37"/>
      <c r="F215" s="37"/>
    </row>
    <row r="216" spans="4:6" ht="15.75" customHeight="1">
      <c r="D216" s="37"/>
      <c r="E216" s="37"/>
      <c r="F216" s="37"/>
    </row>
    <row r="217" spans="4:6" ht="15.75" customHeight="1">
      <c r="D217" s="37"/>
      <c r="E217" s="37"/>
      <c r="F217" s="37"/>
    </row>
    <row r="218" spans="4:6" ht="15.75" customHeight="1">
      <c r="D218" s="37"/>
      <c r="E218" s="37"/>
      <c r="F218" s="37"/>
    </row>
    <row r="219" spans="4:6" ht="15.75" customHeight="1">
      <c r="D219" s="37"/>
      <c r="E219" s="37"/>
      <c r="F219" s="37"/>
    </row>
    <row r="220" spans="4:6" ht="15.75" customHeight="1">
      <c r="D220" s="37"/>
      <c r="E220" s="37"/>
      <c r="F220" s="37"/>
    </row>
    <row r="221" spans="4:6" ht="15.75" customHeight="1">
      <c r="D221" s="37"/>
      <c r="E221" s="37"/>
      <c r="F221" s="37"/>
    </row>
    <row r="222" spans="4:6" ht="15.75" customHeight="1">
      <c r="D222" s="37"/>
      <c r="E222" s="37"/>
      <c r="F222" s="37"/>
    </row>
    <row r="223" spans="4:6" ht="15.75" customHeight="1">
      <c r="D223" s="37"/>
      <c r="E223" s="37"/>
      <c r="F223" s="37"/>
    </row>
    <row r="224" spans="4:6" ht="15.75" customHeight="1">
      <c r="D224" s="37"/>
      <c r="E224" s="37"/>
      <c r="F224" s="37"/>
    </row>
    <row r="225" spans="4:6" ht="15.75" customHeight="1">
      <c r="D225" s="37"/>
      <c r="E225" s="37"/>
      <c r="F225" s="37"/>
    </row>
    <row r="226" spans="4:6" ht="15.75" customHeight="1">
      <c r="D226" s="37"/>
      <c r="E226" s="37"/>
      <c r="F226" s="37"/>
    </row>
    <row r="227" spans="4:6" ht="15.75" customHeight="1">
      <c r="D227" s="37"/>
      <c r="E227" s="37"/>
      <c r="F227" s="37"/>
    </row>
    <row r="228" spans="4:6" ht="15.75" customHeight="1">
      <c r="D228" s="37"/>
      <c r="E228" s="37"/>
      <c r="F228" s="37"/>
    </row>
    <row r="229" spans="4:6" ht="15.75" customHeight="1">
      <c r="D229" s="37"/>
      <c r="E229" s="37"/>
      <c r="F229" s="37"/>
    </row>
    <row r="230" spans="4:6" ht="15.75" customHeight="1">
      <c r="D230" s="37"/>
      <c r="E230" s="37"/>
      <c r="F230" s="37"/>
    </row>
    <row r="231" spans="4:6" ht="15.75" customHeight="1">
      <c r="D231" s="37"/>
      <c r="E231" s="37"/>
      <c r="F231" s="37"/>
    </row>
    <row r="232" spans="4:6" ht="15.75" customHeight="1">
      <c r="D232" s="37"/>
      <c r="E232" s="37"/>
      <c r="F232" s="37"/>
    </row>
    <row r="233" spans="4:6" ht="15.75" customHeight="1">
      <c r="D233" s="37"/>
      <c r="E233" s="37"/>
      <c r="F233" s="37"/>
    </row>
    <row r="234" spans="4:6" ht="15.75" customHeight="1">
      <c r="D234" s="37"/>
      <c r="E234" s="37"/>
      <c r="F234" s="37"/>
    </row>
    <row r="235" spans="4:6" ht="15.75" customHeight="1">
      <c r="D235" s="37"/>
      <c r="E235" s="37"/>
      <c r="F235" s="37"/>
    </row>
    <row r="236" spans="4:6" ht="15.75" customHeight="1">
      <c r="D236" s="37"/>
      <c r="E236" s="37"/>
      <c r="F236" s="37"/>
    </row>
    <row r="237" spans="4:6" ht="15.75" customHeight="1">
      <c r="D237" s="37"/>
      <c r="E237" s="37"/>
      <c r="F237" s="37"/>
    </row>
    <row r="238" spans="4:6" ht="15.75" customHeight="1">
      <c r="D238" s="37"/>
      <c r="E238" s="37"/>
      <c r="F238" s="37"/>
    </row>
    <row r="239" spans="4:6" ht="15.75" customHeight="1"/>
    <row r="240" spans="4: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3">
    <mergeCell ref="A38:H38"/>
    <mergeCell ref="A1:A3"/>
    <mergeCell ref="B1:G3"/>
    <mergeCell ref="B4:H4"/>
    <mergeCell ref="A5:H5"/>
    <mergeCell ref="A6:G6"/>
    <mergeCell ref="A32:C33"/>
    <mergeCell ref="H32:H34"/>
    <mergeCell ref="A34:C34"/>
    <mergeCell ref="D34:G34"/>
    <mergeCell ref="A35:H35"/>
    <mergeCell ref="A36:H36"/>
    <mergeCell ref="A37:H37"/>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CCCC"/>
  </sheetPr>
  <dimension ref="A1:L1000"/>
  <sheetViews>
    <sheetView workbookViewId="0">
      <selection sqref="A1:B3"/>
    </sheetView>
  </sheetViews>
  <sheetFormatPr baseColWidth="10" defaultColWidth="14.42578125" defaultRowHeight="15" customHeight="1"/>
  <cols>
    <col min="1" max="1" width="24.5703125" customWidth="1"/>
    <col min="2" max="2" width="13.85546875" customWidth="1"/>
    <col min="3" max="3" width="8.42578125" customWidth="1"/>
    <col min="4" max="4" width="16.28515625" customWidth="1"/>
    <col min="5" max="5" width="16.85546875" customWidth="1"/>
    <col min="6" max="7" width="17.5703125" customWidth="1"/>
    <col min="8" max="8" width="17.7109375" customWidth="1"/>
    <col min="9" max="9" width="33.140625" customWidth="1"/>
    <col min="10" max="10" width="22.85546875" customWidth="1"/>
  </cols>
  <sheetData>
    <row r="1" spans="1:11" ht="21" customHeight="1">
      <c r="A1" s="127"/>
      <c r="B1" s="128"/>
      <c r="C1" s="129" t="s">
        <v>0</v>
      </c>
      <c r="D1" s="130"/>
      <c r="E1" s="130"/>
      <c r="F1" s="130"/>
      <c r="G1" s="130"/>
      <c r="H1" s="130"/>
      <c r="I1" s="131"/>
      <c r="J1" s="137" t="s">
        <v>1</v>
      </c>
      <c r="K1" s="138"/>
    </row>
    <row r="2" spans="1:11" ht="21" customHeight="1">
      <c r="A2" s="128"/>
      <c r="B2" s="128"/>
      <c r="C2" s="132"/>
      <c r="D2" s="128"/>
      <c r="E2" s="128"/>
      <c r="F2" s="128"/>
      <c r="G2" s="128"/>
      <c r="H2" s="128"/>
      <c r="I2" s="133"/>
      <c r="J2" s="137" t="s">
        <v>2</v>
      </c>
      <c r="K2" s="138"/>
    </row>
    <row r="3" spans="1:11" ht="21" customHeight="1">
      <c r="A3" s="128"/>
      <c r="B3" s="128"/>
      <c r="C3" s="134"/>
      <c r="D3" s="135"/>
      <c r="E3" s="135"/>
      <c r="F3" s="135"/>
      <c r="G3" s="135"/>
      <c r="H3" s="135"/>
      <c r="I3" s="136"/>
      <c r="J3" s="137" t="s">
        <v>3</v>
      </c>
      <c r="K3" s="138"/>
    </row>
    <row r="4" spans="1:11" ht="30.75" customHeight="1">
      <c r="A4" s="1" t="s">
        <v>4</v>
      </c>
      <c r="B4" s="139" t="s">
        <v>5</v>
      </c>
      <c r="C4" s="140"/>
      <c r="D4" s="140"/>
      <c r="E4" s="140"/>
      <c r="F4" s="140"/>
      <c r="G4" s="140"/>
      <c r="H4" s="140"/>
      <c r="I4" s="140"/>
      <c r="J4" s="140"/>
      <c r="K4" s="138"/>
    </row>
    <row r="5" spans="1:11" ht="30.75" customHeight="1">
      <c r="A5" s="141" t="s">
        <v>6</v>
      </c>
      <c r="B5" s="140"/>
      <c r="C5" s="140"/>
      <c r="D5" s="140"/>
      <c r="E5" s="140"/>
      <c r="F5" s="140"/>
      <c r="G5" s="140"/>
      <c r="H5" s="140"/>
      <c r="I5" s="140"/>
      <c r="J5" s="140"/>
      <c r="K5" s="138"/>
    </row>
    <row r="6" spans="1:11" ht="30.75" customHeight="1">
      <c r="A6" s="141" t="s">
        <v>7</v>
      </c>
      <c r="B6" s="140"/>
      <c r="C6" s="140"/>
      <c r="D6" s="140"/>
      <c r="E6" s="140"/>
      <c r="F6" s="140"/>
      <c r="G6" s="140"/>
      <c r="H6" s="138"/>
      <c r="I6" s="2" t="s">
        <v>8</v>
      </c>
      <c r="J6" s="2" t="s">
        <v>9</v>
      </c>
      <c r="K6" s="3" t="s">
        <v>10</v>
      </c>
    </row>
    <row r="7" spans="1:11" ht="37.5" customHeight="1">
      <c r="A7" s="4" t="s">
        <v>11</v>
      </c>
      <c r="B7" s="5" t="s">
        <v>12</v>
      </c>
      <c r="C7" s="4" t="s">
        <v>13</v>
      </c>
      <c r="D7" s="4" t="s">
        <v>14</v>
      </c>
      <c r="E7" s="4" t="s">
        <v>15</v>
      </c>
      <c r="F7" s="4" t="s">
        <v>16</v>
      </c>
      <c r="G7" s="4" t="s">
        <v>17</v>
      </c>
      <c r="H7" s="4" t="s">
        <v>18</v>
      </c>
      <c r="I7" s="5" t="s">
        <v>19</v>
      </c>
      <c r="J7" s="6" t="s">
        <v>20</v>
      </c>
      <c r="K7" s="7" t="s">
        <v>21</v>
      </c>
    </row>
    <row r="8" spans="1:11" ht="16.5" customHeight="1">
      <c r="A8" s="8">
        <v>46161</v>
      </c>
      <c r="B8" s="9" t="s">
        <v>67</v>
      </c>
      <c r="C8" s="9">
        <v>1</v>
      </c>
      <c r="D8" s="9" t="s">
        <v>68</v>
      </c>
      <c r="E8" s="9" t="s">
        <v>23</v>
      </c>
      <c r="F8" s="9" t="s">
        <v>23</v>
      </c>
      <c r="G8" s="9" t="s">
        <v>23</v>
      </c>
      <c r="H8" s="9" t="s">
        <v>23</v>
      </c>
      <c r="I8" s="10"/>
      <c r="J8" s="9"/>
      <c r="K8" s="11"/>
    </row>
    <row r="9" spans="1:11">
      <c r="A9" s="8">
        <v>46161</v>
      </c>
      <c r="B9" s="9" t="s">
        <v>67</v>
      </c>
      <c r="C9" s="9">
        <v>1</v>
      </c>
      <c r="D9" s="9" t="s">
        <v>68</v>
      </c>
      <c r="E9" s="9" t="s">
        <v>23</v>
      </c>
      <c r="F9" s="9" t="s">
        <v>23</v>
      </c>
      <c r="G9" s="9" t="s">
        <v>23</v>
      </c>
      <c r="H9" s="9" t="s">
        <v>23</v>
      </c>
      <c r="I9" s="10"/>
      <c r="J9" s="9"/>
      <c r="K9" s="11"/>
    </row>
    <row r="10" spans="1:11">
      <c r="A10" s="8">
        <v>46161</v>
      </c>
      <c r="B10" s="9" t="s">
        <v>67</v>
      </c>
      <c r="C10" s="9">
        <v>1</v>
      </c>
      <c r="D10" s="9" t="s">
        <v>68</v>
      </c>
      <c r="E10" s="9" t="s">
        <v>23</v>
      </c>
      <c r="F10" s="9" t="s">
        <v>23</v>
      </c>
      <c r="G10" s="9" t="s">
        <v>23</v>
      </c>
      <c r="H10" s="9" t="s">
        <v>23</v>
      </c>
      <c r="I10" s="10"/>
      <c r="J10" s="9"/>
      <c r="K10" s="9"/>
    </row>
    <row r="11" spans="1:11">
      <c r="A11" s="8">
        <v>46161</v>
      </c>
      <c r="B11" s="9" t="s">
        <v>67</v>
      </c>
      <c r="C11" s="9">
        <v>1</v>
      </c>
      <c r="D11" s="9" t="s">
        <v>68</v>
      </c>
      <c r="E11" s="9" t="s">
        <v>23</v>
      </c>
      <c r="F11" s="9" t="s">
        <v>23</v>
      </c>
      <c r="G11" s="9" t="s">
        <v>23</v>
      </c>
      <c r="H11" s="9" t="s">
        <v>23</v>
      </c>
      <c r="I11" s="12"/>
      <c r="J11" s="9"/>
      <c r="K11" s="9"/>
    </row>
    <row r="12" spans="1:11">
      <c r="A12" s="8">
        <v>46161</v>
      </c>
      <c r="B12" s="9" t="s">
        <v>67</v>
      </c>
      <c r="C12" s="9">
        <v>1</v>
      </c>
      <c r="D12" s="9" t="s">
        <v>68</v>
      </c>
      <c r="E12" s="9" t="s">
        <v>23</v>
      </c>
      <c r="F12" s="9" t="s">
        <v>23</v>
      </c>
      <c r="G12" s="9" t="s">
        <v>23</v>
      </c>
      <c r="H12" s="9" t="s">
        <v>23</v>
      </c>
      <c r="I12" s="10"/>
      <c r="J12" s="10"/>
      <c r="K12" s="10"/>
    </row>
    <row r="13" spans="1:11">
      <c r="A13" s="8">
        <v>46161</v>
      </c>
      <c r="B13" s="9" t="s">
        <v>67</v>
      </c>
      <c r="C13" s="9">
        <v>1</v>
      </c>
      <c r="D13" s="9" t="s">
        <v>68</v>
      </c>
      <c r="E13" s="9" t="s">
        <v>23</v>
      </c>
      <c r="F13" s="9" t="s">
        <v>23</v>
      </c>
      <c r="G13" s="9" t="s">
        <v>23</v>
      </c>
      <c r="H13" s="9" t="s">
        <v>23</v>
      </c>
      <c r="I13" s="12"/>
      <c r="J13" s="9"/>
      <c r="K13" s="10"/>
    </row>
    <row r="14" spans="1:11">
      <c r="A14" s="8">
        <v>46161</v>
      </c>
      <c r="B14" s="9" t="s">
        <v>67</v>
      </c>
      <c r="C14" s="9">
        <v>1</v>
      </c>
      <c r="D14" s="9" t="s">
        <v>68</v>
      </c>
      <c r="E14" s="9" t="s">
        <v>23</v>
      </c>
      <c r="F14" s="9" t="s">
        <v>23</v>
      </c>
      <c r="G14" s="9" t="s">
        <v>23</v>
      </c>
      <c r="H14" s="9" t="s">
        <v>23</v>
      </c>
      <c r="I14" s="79"/>
      <c r="J14" s="14"/>
      <c r="K14" s="9"/>
    </row>
    <row r="15" spans="1:11">
      <c r="A15" s="8">
        <v>46161</v>
      </c>
      <c r="B15" s="9" t="s">
        <v>67</v>
      </c>
      <c r="C15" s="9">
        <v>1</v>
      </c>
      <c r="D15" s="9" t="s">
        <v>68</v>
      </c>
      <c r="E15" s="9" t="s">
        <v>23</v>
      </c>
      <c r="F15" s="9" t="s">
        <v>23</v>
      </c>
      <c r="G15" s="9" t="s">
        <v>23</v>
      </c>
      <c r="H15" s="9" t="s">
        <v>23</v>
      </c>
      <c r="I15" s="13"/>
      <c r="J15" s="14"/>
      <c r="K15" s="9"/>
    </row>
    <row r="16" spans="1:11">
      <c r="A16" s="8">
        <v>46161</v>
      </c>
      <c r="B16" s="9" t="s">
        <v>69</v>
      </c>
      <c r="C16" s="9">
        <v>1</v>
      </c>
      <c r="D16" s="9" t="s">
        <v>68</v>
      </c>
      <c r="E16" s="9" t="s">
        <v>23</v>
      </c>
      <c r="F16" s="9" t="s">
        <v>23</v>
      </c>
      <c r="G16" s="9" t="s">
        <v>23</v>
      </c>
      <c r="H16" s="9" t="s">
        <v>23</v>
      </c>
      <c r="I16" s="13"/>
      <c r="J16" s="14"/>
      <c r="K16" s="10"/>
    </row>
    <row r="17" spans="1:12">
      <c r="A17" s="8">
        <v>46161</v>
      </c>
      <c r="B17" s="9" t="s">
        <v>69</v>
      </c>
      <c r="C17" s="9">
        <v>1</v>
      </c>
      <c r="D17" s="9" t="s">
        <v>68</v>
      </c>
      <c r="E17" s="9" t="s">
        <v>23</v>
      </c>
      <c r="F17" s="9" t="s">
        <v>23</v>
      </c>
      <c r="G17" s="9" t="s">
        <v>23</v>
      </c>
      <c r="H17" s="9" t="s">
        <v>23</v>
      </c>
      <c r="I17" s="13"/>
      <c r="J17" s="14"/>
      <c r="K17" s="9"/>
    </row>
    <row r="18" spans="1:12">
      <c r="A18" s="8">
        <v>46161</v>
      </c>
      <c r="B18" s="9" t="s">
        <v>69</v>
      </c>
      <c r="C18" s="9">
        <v>1</v>
      </c>
      <c r="D18" s="9" t="s">
        <v>68</v>
      </c>
      <c r="E18" s="9" t="s">
        <v>23</v>
      </c>
      <c r="F18" s="9" t="s">
        <v>23</v>
      </c>
      <c r="G18" s="9" t="s">
        <v>23</v>
      </c>
      <c r="H18" s="9" t="s">
        <v>23</v>
      </c>
      <c r="I18" s="13"/>
      <c r="J18" s="14"/>
      <c r="K18" s="9"/>
    </row>
    <row r="19" spans="1:12">
      <c r="A19" s="8">
        <v>46161</v>
      </c>
      <c r="B19" s="9" t="s">
        <v>69</v>
      </c>
      <c r="C19" s="9">
        <v>1</v>
      </c>
      <c r="D19" s="9" t="s">
        <v>68</v>
      </c>
      <c r="E19" s="9" t="s">
        <v>23</v>
      </c>
      <c r="F19" s="9" t="s">
        <v>23</v>
      </c>
      <c r="G19" s="9" t="s">
        <v>23</v>
      </c>
      <c r="H19" s="9" t="s">
        <v>23</v>
      </c>
      <c r="I19" s="13"/>
      <c r="J19" s="14"/>
      <c r="K19" s="9"/>
    </row>
    <row r="20" spans="1:12" ht="15.75" customHeight="1">
      <c r="A20" s="8">
        <v>46161</v>
      </c>
      <c r="B20" s="9" t="s">
        <v>69</v>
      </c>
      <c r="C20" s="9">
        <v>1</v>
      </c>
      <c r="D20" s="9" t="s">
        <v>68</v>
      </c>
      <c r="E20" s="9" t="s">
        <v>23</v>
      </c>
      <c r="F20" s="9" t="s">
        <v>23</v>
      </c>
      <c r="G20" s="9" t="s">
        <v>23</v>
      </c>
      <c r="H20" s="9" t="s">
        <v>23</v>
      </c>
      <c r="I20" s="13"/>
      <c r="J20" s="14"/>
      <c r="K20" s="9"/>
    </row>
    <row r="21" spans="1:12" ht="15.75" customHeight="1">
      <c r="A21" s="8">
        <v>46161</v>
      </c>
      <c r="B21" s="9" t="s">
        <v>69</v>
      </c>
      <c r="C21" s="9">
        <v>1</v>
      </c>
      <c r="D21" s="9" t="s">
        <v>68</v>
      </c>
      <c r="E21" s="9" t="s">
        <v>23</v>
      </c>
      <c r="F21" s="9" t="s">
        <v>23</v>
      </c>
      <c r="G21" s="9" t="s">
        <v>23</v>
      </c>
      <c r="H21" s="9" t="s">
        <v>23</v>
      </c>
      <c r="I21" s="13"/>
      <c r="J21" s="14"/>
      <c r="K21" s="10"/>
    </row>
    <row r="22" spans="1:12" ht="15.75" customHeight="1">
      <c r="A22" s="8">
        <v>46161</v>
      </c>
      <c r="B22" s="80" t="s">
        <v>70</v>
      </c>
      <c r="C22" s="9">
        <v>1</v>
      </c>
      <c r="D22" s="9" t="s">
        <v>68</v>
      </c>
      <c r="E22" s="9" t="s">
        <v>23</v>
      </c>
      <c r="F22" s="9" t="s">
        <v>23</v>
      </c>
      <c r="G22" s="9" t="s">
        <v>23</v>
      </c>
      <c r="H22" s="9" t="s">
        <v>23</v>
      </c>
      <c r="I22" s="13"/>
      <c r="J22" s="14"/>
      <c r="K22" s="10"/>
    </row>
    <row r="23" spans="1:12" ht="15.75" customHeight="1">
      <c r="A23" s="8">
        <v>46161</v>
      </c>
      <c r="B23" s="80" t="s">
        <v>70</v>
      </c>
      <c r="C23" s="9">
        <v>1</v>
      </c>
      <c r="D23" s="9" t="s">
        <v>68</v>
      </c>
      <c r="E23" s="9" t="s">
        <v>23</v>
      </c>
      <c r="F23" s="9" t="s">
        <v>23</v>
      </c>
      <c r="G23" s="9" t="s">
        <v>23</v>
      </c>
      <c r="H23" s="9" t="s">
        <v>23</v>
      </c>
      <c r="I23" s="10"/>
      <c r="J23" s="9"/>
      <c r="K23" s="10"/>
    </row>
    <row r="24" spans="1:12" ht="15.75" customHeight="1">
      <c r="A24" s="8">
        <v>46161</v>
      </c>
      <c r="B24" s="80" t="s">
        <v>70</v>
      </c>
      <c r="C24" s="9">
        <v>1</v>
      </c>
      <c r="D24" s="9" t="s">
        <v>68</v>
      </c>
      <c r="E24" s="9" t="s">
        <v>23</v>
      </c>
      <c r="F24" s="9" t="s">
        <v>23</v>
      </c>
      <c r="G24" s="9" t="s">
        <v>23</v>
      </c>
      <c r="H24" s="9" t="s">
        <v>23</v>
      </c>
      <c r="I24" s="10"/>
      <c r="J24" s="9"/>
      <c r="K24" s="10"/>
    </row>
    <row r="25" spans="1:12" ht="15.75" customHeight="1">
      <c r="A25" s="8">
        <v>46161</v>
      </c>
      <c r="B25" s="80" t="s">
        <v>70</v>
      </c>
      <c r="C25" s="9">
        <v>1</v>
      </c>
      <c r="D25" s="9" t="s">
        <v>68</v>
      </c>
      <c r="E25" s="9" t="s">
        <v>23</v>
      </c>
      <c r="F25" s="9" t="s">
        <v>23</v>
      </c>
      <c r="G25" s="9" t="s">
        <v>23</v>
      </c>
      <c r="H25" s="9" t="s">
        <v>23</v>
      </c>
      <c r="I25" s="10"/>
      <c r="J25" s="9"/>
      <c r="K25" s="10"/>
    </row>
    <row r="26" spans="1:12" ht="15.75" customHeight="1">
      <c r="A26" s="8">
        <v>46161</v>
      </c>
      <c r="B26" s="80" t="s">
        <v>70</v>
      </c>
      <c r="C26" s="9">
        <v>1</v>
      </c>
      <c r="D26" s="9" t="s">
        <v>68</v>
      </c>
      <c r="E26" s="9" t="s">
        <v>23</v>
      </c>
      <c r="F26" s="9" t="s">
        <v>23</v>
      </c>
      <c r="G26" s="9" t="s">
        <v>23</v>
      </c>
      <c r="H26" s="9" t="s">
        <v>23</v>
      </c>
      <c r="I26" s="13"/>
      <c r="J26" s="14"/>
      <c r="K26" s="10"/>
    </row>
    <row r="27" spans="1:12" ht="15.75" customHeight="1">
      <c r="A27" s="8">
        <v>46161</v>
      </c>
      <c r="B27" s="80" t="s">
        <v>70</v>
      </c>
      <c r="C27" s="9">
        <v>1</v>
      </c>
      <c r="D27" s="9" t="s">
        <v>68</v>
      </c>
      <c r="E27" s="9" t="s">
        <v>23</v>
      </c>
      <c r="F27" s="9" t="s">
        <v>23</v>
      </c>
      <c r="G27" s="9" t="s">
        <v>23</v>
      </c>
      <c r="H27" s="9" t="s">
        <v>23</v>
      </c>
      <c r="I27" s="15"/>
      <c r="J27" s="14"/>
      <c r="K27" s="16"/>
      <c r="L27" s="17"/>
    </row>
    <row r="28" spans="1:12" ht="15.75" customHeight="1">
      <c r="A28" s="8">
        <v>46161</v>
      </c>
      <c r="B28" s="80" t="s">
        <v>70</v>
      </c>
      <c r="C28" s="9">
        <v>1</v>
      </c>
      <c r="D28" s="9" t="s">
        <v>68</v>
      </c>
      <c r="E28" s="9" t="s">
        <v>23</v>
      </c>
      <c r="F28" s="9" t="s">
        <v>23</v>
      </c>
      <c r="G28" s="9" t="s">
        <v>23</v>
      </c>
      <c r="H28" s="9" t="s">
        <v>23</v>
      </c>
      <c r="I28" s="13"/>
      <c r="J28" s="15"/>
      <c r="K28" s="10"/>
    </row>
    <row r="29" spans="1:12" ht="15.75" customHeight="1">
      <c r="A29" s="8"/>
      <c r="B29" s="14"/>
      <c r="C29" s="9"/>
      <c r="D29" s="9"/>
      <c r="E29" s="9"/>
      <c r="F29" s="9"/>
      <c r="G29" s="9"/>
      <c r="H29" s="9"/>
      <c r="I29" s="10"/>
      <c r="J29" s="18"/>
      <c r="K29" s="10"/>
    </row>
    <row r="30" spans="1:12" ht="15.75" customHeight="1">
      <c r="A30" s="8"/>
      <c r="B30" s="14"/>
      <c r="C30" s="9"/>
      <c r="D30" s="9"/>
      <c r="E30" s="9"/>
      <c r="F30" s="9"/>
      <c r="G30" s="9"/>
      <c r="H30" s="9"/>
      <c r="I30" s="10"/>
      <c r="J30" s="19"/>
      <c r="K30" s="10"/>
    </row>
    <row r="31" spans="1:12" ht="16.5" customHeight="1">
      <c r="A31" s="8"/>
      <c r="B31" s="20"/>
      <c r="C31" s="21"/>
      <c r="D31" s="9"/>
      <c r="E31" s="9"/>
      <c r="F31" s="9"/>
      <c r="G31" s="9"/>
      <c r="H31" s="9"/>
      <c r="I31" s="23"/>
      <c r="J31" s="19"/>
      <c r="K31" s="10"/>
    </row>
    <row r="32" spans="1:12" ht="15.75" customHeight="1">
      <c r="A32" s="8"/>
      <c r="B32" s="25"/>
      <c r="C32" s="21"/>
      <c r="D32" s="9"/>
      <c r="E32" s="9"/>
      <c r="F32" s="9"/>
      <c r="G32" s="9"/>
      <c r="H32" s="9"/>
      <c r="I32" s="10"/>
      <c r="J32" s="19"/>
      <c r="K32" s="10"/>
    </row>
    <row r="33" spans="1:10" ht="15.75" customHeight="1">
      <c r="A33" s="26">
        <f>SUM(C8:C32)</f>
        <v>21</v>
      </c>
      <c r="B33" s="27"/>
      <c r="C33" s="28"/>
      <c r="D33" s="29">
        <f t="shared" ref="D33:G33" si="0">(COUNTIF(D8:D32,"SI")*1+COUNTIF(D26:D32,"NO")*0+COUNTIF(D26:D32,"NA")*0)</f>
        <v>0</v>
      </c>
      <c r="E33" s="29">
        <f t="shared" si="0"/>
        <v>21</v>
      </c>
      <c r="F33" s="29">
        <f t="shared" si="0"/>
        <v>21</v>
      </c>
      <c r="G33" s="29">
        <f t="shared" si="0"/>
        <v>21</v>
      </c>
      <c r="H33" s="29">
        <f>(COUNTIF(H8:H31,"SI")*1+COUNTIF(H8:H31,"NO")*0+COUNTIF(H8:H31,"NA")*0)</f>
        <v>21</v>
      </c>
      <c r="I33" s="163" t="s">
        <v>25</v>
      </c>
      <c r="J33" s="164"/>
    </row>
    <row r="34" spans="1:10" ht="15.75" customHeight="1">
      <c r="A34" s="31"/>
      <c r="B34" s="32"/>
      <c r="C34" s="33"/>
      <c r="D34" s="34">
        <f>(D33/A33)</f>
        <v>0</v>
      </c>
      <c r="E34" s="34">
        <f>(E33/A33)</f>
        <v>1</v>
      </c>
      <c r="F34" s="34">
        <f>(F33/A33)</f>
        <v>1</v>
      </c>
      <c r="G34" s="34">
        <f>(G33/A33)</f>
        <v>1</v>
      </c>
      <c r="H34" s="165"/>
      <c r="I34" s="166"/>
      <c r="J34" s="167"/>
    </row>
    <row r="35" spans="1:10" ht="15.75" customHeight="1">
      <c r="A35" s="145" t="s">
        <v>26</v>
      </c>
      <c r="B35" s="140"/>
      <c r="C35" s="138"/>
      <c r="D35" s="146">
        <f>SUM(D34+E34+F34+G34+H34)/5</f>
        <v>0.6</v>
      </c>
      <c r="E35" s="140"/>
      <c r="F35" s="140"/>
      <c r="G35" s="140"/>
      <c r="H35" s="140"/>
      <c r="I35" s="140"/>
      <c r="J35" s="138"/>
    </row>
    <row r="36" spans="1:10" ht="15.75" customHeight="1">
      <c r="A36" s="147" t="s">
        <v>71</v>
      </c>
      <c r="B36" s="140"/>
      <c r="C36" s="140"/>
      <c r="D36" s="140"/>
      <c r="E36" s="140"/>
      <c r="F36" s="140"/>
      <c r="G36" s="140"/>
      <c r="H36" s="140"/>
      <c r="I36" s="140"/>
      <c r="J36" s="138"/>
    </row>
    <row r="37" spans="1:10" ht="15.75" customHeight="1">
      <c r="A37" s="142" t="s">
        <v>28</v>
      </c>
      <c r="B37" s="140"/>
      <c r="C37" s="140"/>
      <c r="D37" s="140"/>
      <c r="E37" s="140"/>
      <c r="F37" s="140"/>
      <c r="G37" s="140"/>
      <c r="H37" s="140"/>
      <c r="I37" s="140"/>
      <c r="J37" s="138"/>
    </row>
    <row r="38" spans="1:10" ht="15.75" customHeight="1">
      <c r="A38" s="147" t="s">
        <v>29</v>
      </c>
      <c r="B38" s="140"/>
      <c r="C38" s="140"/>
      <c r="D38" s="140"/>
      <c r="E38" s="140"/>
      <c r="F38" s="140"/>
      <c r="G38" s="140"/>
      <c r="H38" s="140"/>
      <c r="I38" s="140"/>
      <c r="J38" s="138"/>
    </row>
    <row r="39" spans="1:10" ht="15.75" customHeight="1">
      <c r="A39" s="142" t="s">
        <v>30</v>
      </c>
      <c r="B39" s="140"/>
      <c r="C39" s="140"/>
      <c r="D39" s="140"/>
      <c r="E39" s="140"/>
      <c r="F39" s="140"/>
      <c r="G39" s="140"/>
      <c r="H39" s="140"/>
      <c r="I39" s="140"/>
      <c r="J39" s="138"/>
    </row>
    <row r="40" spans="1:10" ht="15.75" customHeight="1">
      <c r="A40" s="142" t="s">
        <v>72</v>
      </c>
      <c r="B40" s="140"/>
      <c r="C40" s="140"/>
      <c r="D40" s="140"/>
      <c r="E40" s="140"/>
      <c r="F40" s="140"/>
      <c r="G40" s="140"/>
      <c r="H40" s="140"/>
      <c r="I40" s="140"/>
      <c r="J40" s="138"/>
    </row>
    <row r="41" spans="1:10" ht="15.75" customHeight="1">
      <c r="D41" s="37"/>
      <c r="E41" s="37"/>
      <c r="F41" s="37"/>
      <c r="G41" s="37"/>
      <c r="H41" s="37"/>
    </row>
    <row r="42" spans="1:10" ht="15.75" customHeight="1">
      <c r="D42" s="37"/>
      <c r="E42" s="37"/>
      <c r="F42" s="37"/>
      <c r="G42" s="37"/>
      <c r="H42" s="37"/>
    </row>
    <row r="43" spans="1:10" ht="15.75" customHeight="1">
      <c r="D43" s="37"/>
      <c r="E43" s="37"/>
      <c r="F43" s="37"/>
      <c r="G43" s="37"/>
      <c r="H43" s="37"/>
    </row>
    <row r="44" spans="1:10" ht="15.75" customHeight="1">
      <c r="D44" s="37"/>
      <c r="E44" s="37"/>
      <c r="F44" s="37"/>
      <c r="G44" s="37"/>
      <c r="H44" s="37"/>
    </row>
    <row r="45" spans="1:10" ht="15.75" customHeight="1">
      <c r="D45" s="37"/>
      <c r="E45" s="37"/>
      <c r="F45" s="37"/>
      <c r="G45" s="37"/>
      <c r="H45" s="37"/>
    </row>
    <row r="46" spans="1:10" ht="15.75" customHeight="1">
      <c r="D46" s="37"/>
      <c r="E46" s="37"/>
      <c r="F46" s="37"/>
      <c r="G46" s="37"/>
      <c r="H46" s="37"/>
    </row>
    <row r="47" spans="1:10" ht="15.75" customHeight="1">
      <c r="D47" s="37"/>
      <c r="E47" s="37"/>
      <c r="F47" s="37"/>
      <c r="G47" s="37"/>
      <c r="H47" s="37"/>
    </row>
    <row r="48" spans="1:10" ht="15.75" customHeight="1">
      <c r="D48" s="37"/>
      <c r="E48" s="37"/>
      <c r="F48" s="37"/>
      <c r="G48" s="37"/>
      <c r="H48" s="37"/>
    </row>
    <row r="49" spans="4:8" ht="15.75" customHeight="1">
      <c r="D49" s="37"/>
      <c r="E49" s="37"/>
      <c r="F49" s="37"/>
      <c r="G49" s="37"/>
      <c r="H49" s="37"/>
    </row>
    <row r="50" spans="4:8" ht="15.75" customHeight="1">
      <c r="D50" s="37"/>
      <c r="E50" s="37"/>
      <c r="F50" s="37"/>
      <c r="G50" s="37"/>
      <c r="H50" s="37"/>
    </row>
    <row r="51" spans="4:8" ht="15.75" customHeight="1">
      <c r="D51" s="37"/>
      <c r="E51" s="37"/>
      <c r="F51" s="37"/>
      <c r="G51" s="37"/>
      <c r="H51" s="37"/>
    </row>
    <row r="52" spans="4:8" ht="15.75" customHeight="1">
      <c r="D52" s="37"/>
      <c r="E52" s="37"/>
      <c r="F52" s="37"/>
      <c r="G52" s="37"/>
      <c r="H52" s="37"/>
    </row>
    <row r="53" spans="4:8" ht="15.75" customHeight="1">
      <c r="D53" s="37"/>
      <c r="E53" s="37"/>
      <c r="F53" s="37"/>
      <c r="G53" s="37"/>
      <c r="H53" s="37"/>
    </row>
    <row r="54" spans="4:8" ht="15.75" customHeight="1">
      <c r="D54" s="37"/>
      <c r="E54" s="37"/>
      <c r="F54" s="37"/>
      <c r="G54" s="37"/>
      <c r="H54" s="37"/>
    </row>
    <row r="55" spans="4:8" ht="15.75" customHeight="1">
      <c r="D55" s="37"/>
      <c r="E55" s="37"/>
      <c r="F55" s="37"/>
      <c r="G55" s="37"/>
      <c r="H55" s="37"/>
    </row>
    <row r="56" spans="4:8" ht="15.75" customHeight="1">
      <c r="D56" s="37"/>
      <c r="E56" s="37"/>
      <c r="F56" s="37"/>
      <c r="G56" s="37"/>
      <c r="H56" s="37"/>
    </row>
    <row r="57" spans="4:8" ht="15.75" customHeight="1">
      <c r="D57" s="37"/>
      <c r="E57" s="37"/>
      <c r="F57" s="37"/>
      <c r="G57" s="37"/>
      <c r="H57" s="37"/>
    </row>
    <row r="58" spans="4:8" ht="15.75" customHeight="1">
      <c r="D58" s="37"/>
      <c r="E58" s="37"/>
      <c r="F58" s="37"/>
      <c r="G58" s="37"/>
      <c r="H58" s="37"/>
    </row>
    <row r="59" spans="4:8" ht="15.75" customHeight="1">
      <c r="D59" s="37"/>
      <c r="E59" s="37"/>
      <c r="F59" s="37"/>
      <c r="G59" s="37"/>
      <c r="H59" s="37"/>
    </row>
    <row r="60" spans="4:8" ht="15.75" customHeight="1">
      <c r="D60" s="37"/>
      <c r="E60" s="37"/>
      <c r="F60" s="37"/>
      <c r="G60" s="37"/>
      <c r="H60" s="37"/>
    </row>
    <row r="61" spans="4:8" ht="15.75" customHeight="1">
      <c r="D61" s="37"/>
      <c r="E61" s="37"/>
      <c r="F61" s="37"/>
      <c r="G61" s="37"/>
      <c r="H61" s="37"/>
    </row>
    <row r="62" spans="4:8" ht="15.75" customHeight="1">
      <c r="D62" s="37"/>
      <c r="E62" s="37"/>
      <c r="F62" s="37"/>
      <c r="G62" s="37"/>
      <c r="H62" s="37"/>
    </row>
    <row r="63" spans="4:8" ht="15.75" customHeight="1">
      <c r="D63" s="37"/>
      <c r="E63" s="37"/>
      <c r="F63" s="37"/>
      <c r="G63" s="37"/>
      <c r="H63" s="37"/>
    </row>
    <row r="64" spans="4:8" ht="15.75" customHeight="1">
      <c r="D64" s="37"/>
      <c r="E64" s="37"/>
      <c r="F64" s="37"/>
      <c r="G64" s="37"/>
      <c r="H64" s="37"/>
    </row>
    <row r="65" spans="4:8" ht="15.75" customHeight="1">
      <c r="D65" s="37"/>
      <c r="E65" s="37"/>
      <c r="F65" s="37"/>
      <c r="G65" s="37"/>
      <c r="H65" s="37"/>
    </row>
    <row r="66" spans="4:8" ht="15.75" customHeight="1">
      <c r="D66" s="37"/>
      <c r="E66" s="37"/>
      <c r="F66" s="37"/>
      <c r="G66" s="37"/>
      <c r="H66" s="37"/>
    </row>
    <row r="67" spans="4:8" ht="15.75" customHeight="1">
      <c r="D67" s="37"/>
      <c r="E67" s="37"/>
      <c r="F67" s="37"/>
      <c r="G67" s="37"/>
      <c r="H67" s="37"/>
    </row>
    <row r="68" spans="4:8" ht="15.75" customHeight="1">
      <c r="D68" s="37"/>
      <c r="E68" s="37"/>
      <c r="F68" s="37"/>
      <c r="G68" s="37"/>
      <c r="H68" s="37"/>
    </row>
    <row r="69" spans="4:8" ht="15.75" customHeight="1">
      <c r="D69" s="37"/>
      <c r="E69" s="37"/>
      <c r="F69" s="37"/>
      <c r="G69" s="37"/>
      <c r="H69" s="37"/>
    </row>
    <row r="70" spans="4:8" ht="15.75" customHeight="1">
      <c r="D70" s="37"/>
      <c r="E70" s="37"/>
      <c r="F70" s="37"/>
      <c r="G70" s="37"/>
      <c r="H70" s="37"/>
    </row>
    <row r="71" spans="4:8" ht="15.75" customHeight="1">
      <c r="D71" s="37"/>
      <c r="E71" s="37"/>
      <c r="F71" s="37"/>
      <c r="G71" s="37"/>
      <c r="H71" s="37"/>
    </row>
    <row r="72" spans="4:8" ht="15.75" customHeight="1">
      <c r="D72" s="37"/>
      <c r="E72" s="37"/>
      <c r="F72" s="37"/>
      <c r="G72" s="37"/>
      <c r="H72" s="37"/>
    </row>
    <row r="73" spans="4:8" ht="15.75" customHeight="1">
      <c r="D73" s="37"/>
      <c r="E73" s="37"/>
      <c r="F73" s="37"/>
      <c r="G73" s="37"/>
      <c r="H73" s="37"/>
    </row>
    <row r="74" spans="4:8" ht="15.75" customHeight="1">
      <c r="D74" s="37"/>
      <c r="E74" s="37"/>
      <c r="F74" s="37"/>
      <c r="G74" s="37"/>
      <c r="H74" s="37"/>
    </row>
    <row r="75" spans="4:8" ht="15.75" customHeight="1">
      <c r="D75" s="37"/>
      <c r="E75" s="37"/>
      <c r="F75" s="37"/>
      <c r="G75" s="37"/>
      <c r="H75" s="37"/>
    </row>
    <row r="76" spans="4:8" ht="15.75" customHeight="1">
      <c r="D76" s="37"/>
      <c r="E76" s="37"/>
      <c r="F76" s="37"/>
      <c r="G76" s="37"/>
      <c r="H76" s="37"/>
    </row>
    <row r="77" spans="4:8" ht="15.75" customHeight="1">
      <c r="D77" s="37"/>
      <c r="E77" s="37"/>
      <c r="F77" s="37"/>
      <c r="G77" s="37"/>
      <c r="H77" s="37"/>
    </row>
    <row r="78" spans="4:8" ht="15.75" customHeight="1">
      <c r="D78" s="37"/>
      <c r="E78" s="37"/>
      <c r="F78" s="37"/>
      <c r="G78" s="37"/>
      <c r="H78" s="37"/>
    </row>
    <row r="79" spans="4:8" ht="15.75" customHeight="1">
      <c r="D79" s="37"/>
      <c r="E79" s="37"/>
      <c r="F79" s="37"/>
      <c r="G79" s="37"/>
      <c r="H79" s="37"/>
    </row>
    <row r="80" spans="4:8" ht="15.75" customHeight="1">
      <c r="D80" s="37"/>
      <c r="E80" s="37"/>
      <c r="F80" s="37"/>
      <c r="G80" s="37"/>
      <c r="H80" s="37"/>
    </row>
    <row r="81" spans="4:8" ht="15.75" customHeight="1">
      <c r="D81" s="37"/>
      <c r="E81" s="37"/>
      <c r="F81" s="37"/>
      <c r="G81" s="37"/>
      <c r="H81" s="37"/>
    </row>
    <row r="82" spans="4:8" ht="15.75" customHeight="1">
      <c r="D82" s="37"/>
      <c r="E82" s="37"/>
      <c r="F82" s="37"/>
      <c r="G82" s="37"/>
      <c r="H82" s="37"/>
    </row>
    <row r="83" spans="4:8" ht="15.75" customHeight="1">
      <c r="D83" s="37"/>
      <c r="E83" s="37"/>
      <c r="F83" s="37"/>
      <c r="G83" s="37"/>
      <c r="H83" s="37"/>
    </row>
    <row r="84" spans="4:8" ht="15.75" customHeight="1">
      <c r="D84" s="37"/>
      <c r="E84" s="37"/>
      <c r="F84" s="37"/>
      <c r="G84" s="37"/>
      <c r="H84" s="37"/>
    </row>
    <row r="85" spans="4:8" ht="15.75" customHeight="1">
      <c r="D85" s="37"/>
      <c r="E85" s="37"/>
      <c r="F85" s="37"/>
      <c r="G85" s="37"/>
      <c r="H85" s="37"/>
    </row>
    <row r="86" spans="4:8" ht="15.75" customHeight="1">
      <c r="D86" s="37"/>
      <c r="E86" s="37"/>
      <c r="F86" s="37"/>
      <c r="G86" s="37"/>
      <c r="H86" s="37"/>
    </row>
    <row r="87" spans="4:8" ht="15.75" customHeight="1">
      <c r="D87" s="37"/>
      <c r="E87" s="37"/>
      <c r="F87" s="37"/>
      <c r="G87" s="37"/>
      <c r="H87" s="37"/>
    </row>
    <row r="88" spans="4:8" ht="15.75" customHeight="1">
      <c r="D88" s="37"/>
      <c r="E88" s="37"/>
      <c r="F88" s="37"/>
      <c r="G88" s="37"/>
      <c r="H88" s="37"/>
    </row>
    <row r="89" spans="4:8" ht="15.75" customHeight="1">
      <c r="D89" s="37"/>
      <c r="E89" s="37"/>
      <c r="F89" s="37"/>
      <c r="G89" s="37"/>
      <c r="H89" s="37"/>
    </row>
    <row r="90" spans="4:8" ht="15.75" customHeight="1">
      <c r="D90" s="37"/>
      <c r="E90" s="37"/>
      <c r="F90" s="37"/>
      <c r="G90" s="37"/>
      <c r="H90" s="37"/>
    </row>
    <row r="91" spans="4:8" ht="15.75" customHeight="1">
      <c r="D91" s="37"/>
      <c r="E91" s="37"/>
      <c r="F91" s="37"/>
      <c r="G91" s="37"/>
      <c r="H91" s="37"/>
    </row>
    <row r="92" spans="4:8" ht="15.75" customHeight="1">
      <c r="D92" s="37"/>
      <c r="E92" s="37"/>
      <c r="F92" s="37"/>
      <c r="G92" s="37"/>
      <c r="H92" s="37"/>
    </row>
    <row r="93" spans="4:8" ht="15.75" customHeight="1">
      <c r="D93" s="37"/>
      <c r="E93" s="37"/>
      <c r="F93" s="37"/>
      <c r="G93" s="37"/>
      <c r="H93" s="37"/>
    </row>
    <row r="94" spans="4:8" ht="15.75" customHeight="1">
      <c r="D94" s="37"/>
      <c r="E94" s="37"/>
      <c r="F94" s="37"/>
      <c r="G94" s="37"/>
      <c r="H94" s="37"/>
    </row>
    <row r="95" spans="4:8" ht="15.75" customHeight="1">
      <c r="D95" s="37"/>
      <c r="E95" s="37"/>
      <c r="F95" s="37"/>
      <c r="G95" s="37"/>
      <c r="H95" s="37"/>
    </row>
    <row r="96" spans="4:8" ht="15.75" customHeight="1">
      <c r="D96" s="37"/>
      <c r="E96" s="37"/>
      <c r="F96" s="37"/>
      <c r="G96" s="37"/>
      <c r="H96" s="37"/>
    </row>
    <row r="97" spans="4:8" ht="15.75" customHeight="1">
      <c r="D97" s="37"/>
      <c r="E97" s="37"/>
      <c r="F97" s="37"/>
      <c r="G97" s="37"/>
      <c r="H97" s="37"/>
    </row>
    <row r="98" spans="4:8" ht="15.75" customHeight="1">
      <c r="D98" s="37"/>
      <c r="E98" s="37"/>
      <c r="F98" s="37"/>
      <c r="G98" s="37"/>
      <c r="H98" s="37"/>
    </row>
    <row r="99" spans="4:8" ht="15.75" customHeight="1">
      <c r="D99" s="37"/>
      <c r="E99" s="37"/>
      <c r="F99" s="37"/>
      <c r="G99" s="37"/>
      <c r="H99" s="37"/>
    </row>
    <row r="100" spans="4:8" ht="15.75" customHeight="1">
      <c r="D100" s="37"/>
      <c r="E100" s="37"/>
      <c r="F100" s="37"/>
      <c r="G100" s="37"/>
      <c r="H100" s="37"/>
    </row>
    <row r="101" spans="4:8" ht="15.75" customHeight="1">
      <c r="D101" s="37"/>
      <c r="E101" s="37"/>
      <c r="F101" s="37"/>
      <c r="G101" s="37"/>
      <c r="H101" s="37"/>
    </row>
    <row r="102" spans="4:8" ht="15.75" customHeight="1">
      <c r="D102" s="37"/>
      <c r="E102" s="37"/>
      <c r="F102" s="37"/>
      <c r="G102" s="37"/>
      <c r="H102" s="37"/>
    </row>
    <row r="103" spans="4:8" ht="15.75" customHeight="1">
      <c r="D103" s="37"/>
      <c r="E103" s="37"/>
      <c r="F103" s="37"/>
      <c r="G103" s="37"/>
      <c r="H103" s="37"/>
    </row>
    <row r="104" spans="4:8" ht="15.75" customHeight="1">
      <c r="D104" s="37"/>
      <c r="E104" s="37"/>
      <c r="F104" s="37"/>
      <c r="G104" s="37"/>
      <c r="H104" s="37"/>
    </row>
    <row r="105" spans="4:8" ht="15.75" customHeight="1">
      <c r="D105" s="37"/>
      <c r="E105" s="37"/>
      <c r="F105" s="37"/>
      <c r="G105" s="37"/>
      <c r="H105" s="37"/>
    </row>
    <row r="106" spans="4:8" ht="15.75" customHeight="1">
      <c r="D106" s="37"/>
      <c r="E106" s="37"/>
      <c r="F106" s="37"/>
      <c r="G106" s="37"/>
      <c r="H106" s="37"/>
    </row>
    <row r="107" spans="4:8" ht="15.75" customHeight="1">
      <c r="D107" s="37"/>
      <c r="E107" s="37"/>
      <c r="F107" s="37"/>
      <c r="G107" s="37"/>
      <c r="H107" s="37"/>
    </row>
    <row r="108" spans="4:8" ht="15.75" customHeight="1">
      <c r="D108" s="37"/>
      <c r="E108" s="37"/>
      <c r="F108" s="37"/>
      <c r="G108" s="37"/>
      <c r="H108" s="37"/>
    </row>
    <row r="109" spans="4:8" ht="15.75" customHeight="1">
      <c r="D109" s="37"/>
      <c r="E109" s="37"/>
      <c r="F109" s="37"/>
      <c r="G109" s="37"/>
      <c r="H109" s="37"/>
    </row>
    <row r="110" spans="4:8" ht="15.75" customHeight="1">
      <c r="D110" s="37"/>
      <c r="E110" s="37"/>
      <c r="F110" s="37"/>
      <c r="G110" s="37"/>
      <c r="H110" s="37"/>
    </row>
    <row r="111" spans="4:8" ht="15.75" customHeight="1">
      <c r="D111" s="37"/>
      <c r="E111" s="37"/>
      <c r="F111" s="37"/>
      <c r="G111" s="37"/>
      <c r="H111" s="37"/>
    </row>
    <row r="112" spans="4:8" ht="15.75" customHeight="1">
      <c r="D112" s="37"/>
      <c r="E112" s="37"/>
      <c r="F112" s="37"/>
      <c r="G112" s="37"/>
      <c r="H112" s="37"/>
    </row>
    <row r="113" spans="4:8" ht="15.75" customHeight="1">
      <c r="D113" s="37"/>
      <c r="E113" s="37"/>
      <c r="F113" s="37"/>
      <c r="G113" s="37"/>
      <c r="H113" s="37"/>
    </row>
    <row r="114" spans="4:8" ht="15.75" customHeight="1">
      <c r="D114" s="37"/>
      <c r="E114" s="37"/>
      <c r="F114" s="37"/>
      <c r="G114" s="37"/>
      <c r="H114" s="37"/>
    </row>
    <row r="115" spans="4:8" ht="15.75" customHeight="1">
      <c r="D115" s="37"/>
      <c r="E115" s="37"/>
      <c r="F115" s="37"/>
      <c r="G115" s="37"/>
      <c r="H115" s="37"/>
    </row>
    <row r="116" spans="4:8" ht="15.75" customHeight="1">
      <c r="D116" s="37"/>
      <c r="E116" s="37"/>
      <c r="F116" s="37"/>
      <c r="G116" s="37"/>
      <c r="H116" s="37"/>
    </row>
    <row r="117" spans="4:8" ht="15.75" customHeight="1">
      <c r="D117" s="37"/>
      <c r="E117" s="37"/>
      <c r="F117" s="37"/>
      <c r="G117" s="37"/>
      <c r="H117" s="37"/>
    </row>
    <row r="118" spans="4:8" ht="15.75" customHeight="1">
      <c r="D118" s="37"/>
      <c r="E118" s="37"/>
      <c r="F118" s="37"/>
      <c r="G118" s="37"/>
      <c r="H118" s="37"/>
    </row>
    <row r="119" spans="4:8" ht="15.75" customHeight="1">
      <c r="D119" s="37"/>
      <c r="E119" s="37"/>
      <c r="F119" s="37"/>
      <c r="G119" s="37"/>
      <c r="H119" s="37"/>
    </row>
    <row r="120" spans="4:8" ht="15.75" customHeight="1">
      <c r="D120" s="37"/>
      <c r="E120" s="37"/>
      <c r="F120" s="37"/>
      <c r="G120" s="37"/>
      <c r="H120" s="37"/>
    </row>
    <row r="121" spans="4:8" ht="15.75" customHeight="1">
      <c r="D121" s="37"/>
      <c r="E121" s="37"/>
      <c r="F121" s="37"/>
      <c r="G121" s="37"/>
      <c r="H121" s="37"/>
    </row>
    <row r="122" spans="4:8" ht="15.75" customHeight="1">
      <c r="D122" s="37"/>
      <c r="E122" s="37"/>
      <c r="F122" s="37"/>
      <c r="G122" s="37"/>
      <c r="H122" s="37"/>
    </row>
    <row r="123" spans="4:8" ht="15.75" customHeight="1">
      <c r="D123" s="37"/>
      <c r="E123" s="37"/>
      <c r="F123" s="37"/>
      <c r="G123" s="37"/>
      <c r="H123" s="37"/>
    </row>
    <row r="124" spans="4:8" ht="15.75" customHeight="1">
      <c r="D124" s="37"/>
      <c r="E124" s="37"/>
      <c r="F124" s="37"/>
      <c r="G124" s="37"/>
      <c r="H124" s="37"/>
    </row>
    <row r="125" spans="4:8" ht="15.75" customHeight="1">
      <c r="D125" s="37"/>
      <c r="E125" s="37"/>
      <c r="F125" s="37"/>
      <c r="G125" s="37"/>
      <c r="H125" s="37"/>
    </row>
    <row r="126" spans="4:8" ht="15.75" customHeight="1">
      <c r="D126" s="37"/>
      <c r="E126" s="37"/>
      <c r="F126" s="37"/>
      <c r="G126" s="37"/>
      <c r="H126" s="37"/>
    </row>
    <row r="127" spans="4:8" ht="15.75" customHeight="1">
      <c r="D127" s="37"/>
      <c r="E127" s="37"/>
      <c r="F127" s="37"/>
      <c r="G127" s="37"/>
      <c r="H127" s="37"/>
    </row>
    <row r="128" spans="4:8" ht="15.75" customHeight="1">
      <c r="D128" s="37"/>
      <c r="E128" s="37"/>
      <c r="F128" s="37"/>
      <c r="G128" s="37"/>
      <c r="H128" s="37"/>
    </row>
    <row r="129" spans="4:8" ht="15.75" customHeight="1">
      <c r="D129" s="37"/>
      <c r="E129" s="37"/>
      <c r="F129" s="37"/>
      <c r="G129" s="37"/>
      <c r="H129" s="37"/>
    </row>
    <row r="130" spans="4:8" ht="15.75" customHeight="1">
      <c r="D130" s="37"/>
      <c r="E130" s="37"/>
      <c r="F130" s="37"/>
      <c r="G130" s="37"/>
      <c r="H130" s="37"/>
    </row>
    <row r="131" spans="4:8" ht="15.75" customHeight="1">
      <c r="D131" s="37"/>
      <c r="E131" s="37"/>
      <c r="F131" s="37"/>
      <c r="G131" s="37"/>
      <c r="H131" s="37"/>
    </row>
    <row r="132" spans="4:8" ht="15.75" customHeight="1">
      <c r="D132" s="37"/>
      <c r="E132" s="37"/>
      <c r="F132" s="37"/>
      <c r="G132" s="37"/>
      <c r="H132" s="37"/>
    </row>
    <row r="133" spans="4:8" ht="15.75" customHeight="1">
      <c r="D133" s="37"/>
      <c r="E133" s="37"/>
      <c r="F133" s="37"/>
      <c r="G133" s="37"/>
      <c r="H133" s="37"/>
    </row>
    <row r="134" spans="4:8" ht="15.75" customHeight="1">
      <c r="D134" s="37"/>
      <c r="E134" s="37"/>
      <c r="F134" s="37"/>
      <c r="G134" s="37"/>
      <c r="H134" s="37"/>
    </row>
    <row r="135" spans="4:8" ht="15.75" customHeight="1">
      <c r="D135" s="37"/>
      <c r="E135" s="37"/>
      <c r="F135" s="37"/>
      <c r="G135" s="37"/>
      <c r="H135" s="37"/>
    </row>
    <row r="136" spans="4:8" ht="15.75" customHeight="1">
      <c r="D136" s="37"/>
      <c r="E136" s="37"/>
      <c r="F136" s="37"/>
      <c r="G136" s="37"/>
      <c r="H136" s="37"/>
    </row>
    <row r="137" spans="4:8" ht="15.75" customHeight="1">
      <c r="D137" s="37"/>
      <c r="E137" s="37"/>
      <c r="F137" s="37"/>
      <c r="G137" s="37"/>
      <c r="H137" s="37"/>
    </row>
    <row r="138" spans="4:8" ht="15.75" customHeight="1">
      <c r="D138" s="37"/>
      <c r="E138" s="37"/>
      <c r="F138" s="37"/>
      <c r="G138" s="37"/>
      <c r="H138" s="37"/>
    </row>
    <row r="139" spans="4:8" ht="15.75" customHeight="1">
      <c r="D139" s="37"/>
      <c r="E139" s="37"/>
      <c r="F139" s="37"/>
      <c r="G139" s="37"/>
      <c r="H139" s="37"/>
    </row>
    <row r="140" spans="4:8" ht="15.75" customHeight="1">
      <c r="D140" s="37"/>
      <c r="E140" s="37"/>
      <c r="F140" s="37"/>
      <c r="G140" s="37"/>
      <c r="H140" s="37"/>
    </row>
    <row r="141" spans="4:8" ht="15.75" customHeight="1">
      <c r="D141" s="37"/>
      <c r="E141" s="37"/>
      <c r="F141" s="37"/>
      <c r="G141" s="37"/>
      <c r="H141" s="37"/>
    </row>
    <row r="142" spans="4:8" ht="15.75" customHeight="1">
      <c r="D142" s="37"/>
      <c r="E142" s="37"/>
      <c r="F142" s="37"/>
      <c r="G142" s="37"/>
      <c r="H142" s="37"/>
    </row>
    <row r="143" spans="4:8" ht="15.75" customHeight="1">
      <c r="D143" s="37"/>
      <c r="E143" s="37"/>
      <c r="F143" s="37"/>
      <c r="G143" s="37"/>
      <c r="H143" s="37"/>
    </row>
    <row r="144" spans="4:8" ht="15.75" customHeight="1">
      <c r="D144" s="37"/>
      <c r="E144" s="37"/>
      <c r="F144" s="37"/>
      <c r="G144" s="37"/>
      <c r="H144" s="37"/>
    </row>
    <row r="145" spans="4:8" ht="15.75" customHeight="1">
      <c r="D145" s="37"/>
      <c r="E145" s="37"/>
      <c r="F145" s="37"/>
      <c r="G145" s="37"/>
      <c r="H145" s="37"/>
    </row>
    <row r="146" spans="4:8" ht="15.75" customHeight="1">
      <c r="D146" s="37"/>
      <c r="E146" s="37"/>
      <c r="F146" s="37"/>
      <c r="G146" s="37"/>
      <c r="H146" s="37"/>
    </row>
    <row r="147" spans="4:8" ht="15.75" customHeight="1">
      <c r="D147" s="37"/>
      <c r="E147" s="37"/>
      <c r="F147" s="37"/>
      <c r="G147" s="37"/>
      <c r="H147" s="37"/>
    </row>
    <row r="148" spans="4:8" ht="15.75" customHeight="1">
      <c r="D148" s="37"/>
      <c r="E148" s="37"/>
      <c r="F148" s="37"/>
      <c r="G148" s="37"/>
      <c r="H148" s="37"/>
    </row>
    <row r="149" spans="4:8" ht="15.75" customHeight="1">
      <c r="D149" s="37"/>
      <c r="E149" s="37"/>
      <c r="F149" s="37"/>
      <c r="G149" s="37"/>
      <c r="H149" s="37"/>
    </row>
    <row r="150" spans="4:8" ht="15.75" customHeight="1">
      <c r="D150" s="37"/>
      <c r="E150" s="37"/>
      <c r="F150" s="37"/>
      <c r="G150" s="37"/>
      <c r="H150" s="37"/>
    </row>
    <row r="151" spans="4:8" ht="15.75" customHeight="1">
      <c r="D151" s="37"/>
      <c r="E151" s="37"/>
      <c r="F151" s="37"/>
      <c r="G151" s="37"/>
      <c r="H151" s="37"/>
    </row>
    <row r="152" spans="4:8" ht="15.75" customHeight="1">
      <c r="D152" s="37"/>
      <c r="E152" s="37"/>
      <c r="F152" s="37"/>
      <c r="G152" s="37"/>
      <c r="H152" s="37"/>
    </row>
    <row r="153" spans="4:8" ht="15.75" customHeight="1">
      <c r="D153" s="37"/>
      <c r="E153" s="37"/>
      <c r="F153" s="37"/>
      <c r="G153" s="37"/>
      <c r="H153" s="37"/>
    </row>
    <row r="154" spans="4:8" ht="15.75" customHeight="1">
      <c r="D154" s="37"/>
      <c r="E154" s="37"/>
      <c r="F154" s="37"/>
      <c r="G154" s="37"/>
      <c r="H154" s="37"/>
    </row>
    <row r="155" spans="4:8" ht="15.75" customHeight="1">
      <c r="D155" s="37"/>
      <c r="E155" s="37"/>
      <c r="F155" s="37"/>
      <c r="G155" s="37"/>
      <c r="H155" s="37"/>
    </row>
    <row r="156" spans="4:8" ht="15.75" customHeight="1">
      <c r="D156" s="37"/>
      <c r="E156" s="37"/>
      <c r="F156" s="37"/>
      <c r="G156" s="37"/>
      <c r="H156" s="37"/>
    </row>
    <row r="157" spans="4:8" ht="15.75" customHeight="1">
      <c r="D157" s="37"/>
      <c r="E157" s="37"/>
      <c r="F157" s="37"/>
      <c r="G157" s="37"/>
      <c r="H157" s="37"/>
    </row>
    <row r="158" spans="4:8" ht="15.75" customHeight="1">
      <c r="D158" s="37"/>
      <c r="E158" s="37"/>
      <c r="F158" s="37"/>
      <c r="G158" s="37"/>
      <c r="H158" s="37"/>
    </row>
    <row r="159" spans="4:8" ht="15.75" customHeight="1">
      <c r="D159" s="37"/>
      <c r="E159" s="37"/>
      <c r="F159" s="37"/>
      <c r="G159" s="37"/>
      <c r="H159" s="37"/>
    </row>
    <row r="160" spans="4:8" ht="15.75" customHeight="1">
      <c r="D160" s="37"/>
      <c r="E160" s="37"/>
      <c r="F160" s="37"/>
      <c r="G160" s="37"/>
      <c r="H160" s="37"/>
    </row>
    <row r="161" spans="4:8" ht="15.75" customHeight="1">
      <c r="D161" s="37"/>
      <c r="E161" s="37"/>
      <c r="F161" s="37"/>
      <c r="G161" s="37"/>
      <c r="H161" s="37"/>
    </row>
    <row r="162" spans="4:8" ht="15.75" customHeight="1">
      <c r="D162" s="37"/>
      <c r="E162" s="37"/>
      <c r="F162" s="37"/>
      <c r="G162" s="37"/>
      <c r="H162" s="37"/>
    </row>
    <row r="163" spans="4:8" ht="15.75" customHeight="1">
      <c r="D163" s="37"/>
      <c r="E163" s="37"/>
      <c r="F163" s="37"/>
      <c r="G163" s="37"/>
      <c r="H163" s="37"/>
    </row>
    <row r="164" spans="4:8" ht="15.75" customHeight="1">
      <c r="D164" s="37"/>
      <c r="E164" s="37"/>
      <c r="F164" s="37"/>
      <c r="G164" s="37"/>
      <c r="H164" s="37"/>
    </row>
    <row r="165" spans="4:8" ht="15.75" customHeight="1">
      <c r="D165" s="37"/>
      <c r="E165" s="37"/>
      <c r="F165" s="37"/>
      <c r="G165" s="37"/>
      <c r="H165" s="37"/>
    </row>
    <row r="166" spans="4:8" ht="15.75" customHeight="1">
      <c r="D166" s="37"/>
      <c r="E166" s="37"/>
      <c r="F166" s="37"/>
      <c r="G166" s="37"/>
      <c r="H166" s="37"/>
    </row>
    <row r="167" spans="4:8" ht="15.75" customHeight="1">
      <c r="D167" s="37"/>
      <c r="E167" s="37"/>
      <c r="F167" s="37"/>
      <c r="G167" s="37"/>
      <c r="H167" s="37"/>
    </row>
    <row r="168" spans="4:8" ht="15.75" customHeight="1">
      <c r="D168" s="37"/>
      <c r="E168" s="37"/>
      <c r="F168" s="37"/>
      <c r="G168" s="37"/>
      <c r="H168" s="37"/>
    </row>
    <row r="169" spans="4:8" ht="15.75" customHeight="1">
      <c r="D169" s="37"/>
      <c r="E169" s="37"/>
      <c r="F169" s="37"/>
      <c r="G169" s="37"/>
      <c r="H169" s="37"/>
    </row>
    <row r="170" spans="4:8" ht="15.75" customHeight="1">
      <c r="D170" s="37"/>
      <c r="E170" s="37"/>
      <c r="F170" s="37"/>
      <c r="G170" s="37"/>
      <c r="H170" s="37"/>
    </row>
    <row r="171" spans="4:8" ht="15.75" customHeight="1">
      <c r="D171" s="37"/>
      <c r="E171" s="37"/>
      <c r="F171" s="37"/>
      <c r="G171" s="37"/>
      <c r="H171" s="37"/>
    </row>
    <row r="172" spans="4:8" ht="15.75" customHeight="1">
      <c r="D172" s="37"/>
      <c r="E172" s="37"/>
      <c r="F172" s="37"/>
      <c r="G172" s="37"/>
      <c r="H172" s="37"/>
    </row>
    <row r="173" spans="4:8" ht="15.75" customHeight="1">
      <c r="D173" s="37"/>
      <c r="E173" s="37"/>
      <c r="F173" s="37"/>
      <c r="G173" s="37"/>
      <c r="H173" s="37"/>
    </row>
    <row r="174" spans="4:8" ht="15.75" customHeight="1">
      <c r="D174" s="37"/>
      <c r="E174" s="37"/>
      <c r="F174" s="37"/>
      <c r="G174" s="37"/>
      <c r="H174" s="37"/>
    </row>
    <row r="175" spans="4:8" ht="15.75" customHeight="1">
      <c r="D175" s="37"/>
      <c r="E175" s="37"/>
      <c r="F175" s="37"/>
      <c r="G175" s="37"/>
      <c r="H175" s="37"/>
    </row>
    <row r="176" spans="4:8" ht="15.75" customHeight="1">
      <c r="D176" s="37"/>
      <c r="E176" s="37"/>
      <c r="F176" s="37"/>
      <c r="G176" s="37"/>
      <c r="H176" s="37"/>
    </row>
    <row r="177" spans="4:8" ht="15.75" customHeight="1">
      <c r="D177" s="37"/>
      <c r="E177" s="37"/>
      <c r="F177" s="37"/>
      <c r="G177" s="37"/>
      <c r="H177" s="37"/>
    </row>
    <row r="178" spans="4:8" ht="15.75" customHeight="1">
      <c r="D178" s="37"/>
      <c r="E178" s="37"/>
      <c r="F178" s="37"/>
      <c r="G178" s="37"/>
      <c r="H178" s="37"/>
    </row>
    <row r="179" spans="4:8" ht="15.75" customHeight="1">
      <c r="D179" s="37"/>
      <c r="E179" s="37"/>
      <c r="F179" s="37"/>
      <c r="G179" s="37"/>
      <c r="H179" s="37"/>
    </row>
    <row r="180" spans="4:8" ht="15.75" customHeight="1">
      <c r="D180" s="37"/>
      <c r="E180" s="37"/>
      <c r="F180" s="37"/>
      <c r="G180" s="37"/>
      <c r="H180" s="37"/>
    </row>
    <row r="181" spans="4:8" ht="15.75" customHeight="1">
      <c r="D181" s="37"/>
      <c r="E181" s="37"/>
      <c r="F181" s="37"/>
      <c r="G181" s="37"/>
      <c r="H181" s="37"/>
    </row>
    <row r="182" spans="4:8" ht="15.75" customHeight="1">
      <c r="D182" s="37"/>
      <c r="E182" s="37"/>
      <c r="F182" s="37"/>
      <c r="G182" s="37"/>
      <c r="H182" s="37"/>
    </row>
    <row r="183" spans="4:8" ht="15.75" customHeight="1">
      <c r="D183" s="37"/>
      <c r="E183" s="37"/>
      <c r="F183" s="37"/>
      <c r="G183" s="37"/>
      <c r="H183" s="37"/>
    </row>
    <row r="184" spans="4:8" ht="15.75" customHeight="1">
      <c r="D184" s="37"/>
      <c r="E184" s="37"/>
      <c r="F184" s="37"/>
      <c r="G184" s="37"/>
      <c r="H184" s="37"/>
    </row>
    <row r="185" spans="4:8" ht="15.75" customHeight="1">
      <c r="D185" s="37"/>
      <c r="E185" s="37"/>
      <c r="F185" s="37"/>
      <c r="G185" s="37"/>
      <c r="H185" s="37"/>
    </row>
    <row r="186" spans="4:8" ht="15.75" customHeight="1">
      <c r="D186" s="37"/>
      <c r="E186" s="37"/>
      <c r="F186" s="37"/>
      <c r="G186" s="37"/>
      <c r="H186" s="37"/>
    </row>
    <row r="187" spans="4:8" ht="15.75" customHeight="1">
      <c r="D187" s="37"/>
      <c r="E187" s="37"/>
      <c r="F187" s="37"/>
      <c r="G187" s="37"/>
      <c r="H187" s="37"/>
    </row>
    <row r="188" spans="4:8" ht="15.75" customHeight="1">
      <c r="D188" s="37"/>
      <c r="E188" s="37"/>
      <c r="F188" s="37"/>
      <c r="G188" s="37"/>
      <c r="H188" s="37"/>
    </row>
    <row r="189" spans="4:8" ht="15.75" customHeight="1">
      <c r="D189" s="37"/>
      <c r="E189" s="37"/>
      <c r="F189" s="37"/>
      <c r="G189" s="37"/>
      <c r="H189" s="37"/>
    </row>
    <row r="190" spans="4:8" ht="15.75" customHeight="1">
      <c r="D190" s="37"/>
      <c r="E190" s="37"/>
      <c r="F190" s="37"/>
      <c r="G190" s="37"/>
      <c r="H190" s="37"/>
    </row>
    <row r="191" spans="4:8" ht="15.75" customHeight="1">
      <c r="D191" s="37"/>
      <c r="E191" s="37"/>
      <c r="F191" s="37"/>
      <c r="G191" s="37"/>
      <c r="H191" s="37"/>
    </row>
    <row r="192" spans="4:8" ht="15.75" customHeight="1">
      <c r="D192" s="37"/>
      <c r="E192" s="37"/>
      <c r="F192" s="37"/>
      <c r="G192" s="37"/>
      <c r="H192" s="37"/>
    </row>
    <row r="193" spans="4:8" ht="15.75" customHeight="1">
      <c r="D193" s="37"/>
      <c r="E193" s="37"/>
      <c r="F193" s="37"/>
      <c r="G193" s="37"/>
      <c r="H193" s="37"/>
    </row>
    <row r="194" spans="4:8" ht="15.75" customHeight="1">
      <c r="D194" s="37"/>
      <c r="E194" s="37"/>
      <c r="F194" s="37"/>
      <c r="G194" s="37"/>
      <c r="H194" s="37"/>
    </row>
    <row r="195" spans="4:8" ht="15.75" customHeight="1">
      <c r="D195" s="37"/>
      <c r="E195" s="37"/>
      <c r="F195" s="37"/>
      <c r="G195" s="37"/>
      <c r="H195" s="37"/>
    </row>
    <row r="196" spans="4:8" ht="15.75" customHeight="1">
      <c r="D196" s="37"/>
      <c r="E196" s="37"/>
      <c r="F196" s="37"/>
      <c r="G196" s="37"/>
      <c r="H196" s="37"/>
    </row>
    <row r="197" spans="4:8" ht="15.75" customHeight="1">
      <c r="D197" s="37"/>
      <c r="E197" s="37"/>
      <c r="F197" s="37"/>
      <c r="G197" s="37"/>
      <c r="H197" s="37"/>
    </row>
    <row r="198" spans="4:8" ht="15.75" customHeight="1">
      <c r="D198" s="37"/>
      <c r="E198" s="37"/>
      <c r="F198" s="37"/>
      <c r="G198" s="37"/>
      <c r="H198" s="37"/>
    </row>
    <row r="199" spans="4:8" ht="15.75" customHeight="1">
      <c r="D199" s="37"/>
      <c r="E199" s="37"/>
      <c r="F199" s="37"/>
      <c r="G199" s="37"/>
      <c r="H199" s="37"/>
    </row>
    <row r="200" spans="4:8" ht="15.75" customHeight="1">
      <c r="D200" s="37"/>
      <c r="E200" s="37"/>
      <c r="F200" s="37"/>
      <c r="G200" s="37"/>
      <c r="H200" s="37"/>
    </row>
    <row r="201" spans="4:8" ht="15.75" customHeight="1">
      <c r="D201" s="37"/>
      <c r="E201" s="37"/>
      <c r="F201" s="37"/>
      <c r="G201" s="37"/>
      <c r="H201" s="37"/>
    </row>
    <row r="202" spans="4:8" ht="15.75" customHeight="1">
      <c r="D202" s="37"/>
      <c r="E202" s="37"/>
      <c r="F202" s="37"/>
      <c r="G202" s="37"/>
      <c r="H202" s="37"/>
    </row>
    <row r="203" spans="4:8" ht="15.75" customHeight="1">
      <c r="D203" s="37"/>
      <c r="E203" s="37"/>
      <c r="F203" s="37"/>
      <c r="G203" s="37"/>
      <c r="H203" s="37"/>
    </row>
    <row r="204" spans="4:8" ht="15.75" customHeight="1">
      <c r="D204" s="37"/>
      <c r="E204" s="37"/>
      <c r="F204" s="37"/>
      <c r="G204" s="37"/>
      <c r="H204" s="37"/>
    </row>
    <row r="205" spans="4:8" ht="15.75" customHeight="1">
      <c r="D205" s="37"/>
      <c r="E205" s="37"/>
      <c r="F205" s="37"/>
      <c r="G205" s="37"/>
      <c r="H205" s="37"/>
    </row>
    <row r="206" spans="4:8" ht="15.75" customHeight="1">
      <c r="D206" s="37"/>
      <c r="E206" s="37"/>
      <c r="F206" s="37"/>
      <c r="G206" s="37"/>
      <c r="H206" s="37"/>
    </row>
    <row r="207" spans="4:8" ht="15.75" customHeight="1">
      <c r="D207" s="37"/>
      <c r="E207" s="37"/>
      <c r="F207" s="37"/>
      <c r="G207" s="37"/>
      <c r="H207" s="37"/>
    </row>
    <row r="208" spans="4:8" ht="15.75" customHeight="1">
      <c r="D208" s="37"/>
      <c r="E208" s="37"/>
      <c r="F208" s="37"/>
      <c r="G208" s="37"/>
      <c r="H208" s="37"/>
    </row>
    <row r="209" spans="4:8" ht="15.75" customHeight="1">
      <c r="D209" s="37"/>
      <c r="E209" s="37"/>
      <c r="F209" s="37"/>
      <c r="G209" s="37"/>
      <c r="H209" s="37"/>
    </row>
    <row r="210" spans="4:8" ht="15.75" customHeight="1">
      <c r="D210" s="37"/>
      <c r="E210" s="37"/>
      <c r="F210" s="37"/>
      <c r="G210" s="37"/>
      <c r="H210" s="37"/>
    </row>
    <row r="211" spans="4:8" ht="15.75" customHeight="1">
      <c r="D211" s="37"/>
      <c r="E211" s="37"/>
      <c r="F211" s="37"/>
      <c r="G211" s="37"/>
      <c r="H211" s="37"/>
    </row>
    <row r="212" spans="4:8" ht="15.75" customHeight="1">
      <c r="D212" s="37"/>
      <c r="E212" s="37"/>
      <c r="F212" s="37"/>
      <c r="G212" s="37"/>
      <c r="H212" s="37"/>
    </row>
    <row r="213" spans="4:8" ht="15.75" customHeight="1">
      <c r="D213" s="37"/>
      <c r="E213" s="37"/>
      <c r="F213" s="37"/>
      <c r="G213" s="37"/>
      <c r="H213" s="37"/>
    </row>
    <row r="214" spans="4:8" ht="15.75" customHeight="1">
      <c r="D214" s="37"/>
      <c r="E214" s="37"/>
      <c r="F214" s="37"/>
      <c r="G214" s="37"/>
      <c r="H214" s="37"/>
    </row>
    <row r="215" spans="4:8" ht="15.75" customHeight="1">
      <c r="D215" s="37"/>
      <c r="E215" s="37"/>
      <c r="F215" s="37"/>
      <c r="G215" s="37"/>
      <c r="H215" s="37"/>
    </row>
    <row r="216" spans="4:8" ht="15.75" customHeight="1">
      <c r="D216" s="37"/>
      <c r="E216" s="37"/>
      <c r="F216" s="37"/>
      <c r="G216" s="37"/>
      <c r="H216" s="37"/>
    </row>
    <row r="217" spans="4:8" ht="15.75" customHeight="1">
      <c r="D217" s="37"/>
      <c r="E217" s="37"/>
      <c r="F217" s="37"/>
      <c r="G217" s="37"/>
      <c r="H217" s="37"/>
    </row>
    <row r="218" spans="4:8" ht="15.75" customHeight="1">
      <c r="D218" s="37"/>
      <c r="E218" s="37"/>
      <c r="F218" s="37"/>
      <c r="G218" s="37"/>
      <c r="H218" s="37"/>
    </row>
    <row r="219" spans="4:8" ht="15.75" customHeight="1">
      <c r="D219" s="37"/>
      <c r="E219" s="37"/>
      <c r="F219" s="37"/>
      <c r="G219" s="37"/>
      <c r="H219" s="37"/>
    </row>
    <row r="220" spans="4:8" ht="15.75" customHeight="1">
      <c r="D220" s="37"/>
      <c r="E220" s="37"/>
      <c r="F220" s="37"/>
      <c r="G220" s="37"/>
      <c r="H220" s="37"/>
    </row>
    <row r="221" spans="4:8" ht="15.75" customHeight="1">
      <c r="D221" s="37"/>
      <c r="E221" s="37"/>
      <c r="F221" s="37"/>
      <c r="G221" s="37"/>
      <c r="H221" s="37"/>
    </row>
    <row r="222" spans="4:8" ht="15.75" customHeight="1">
      <c r="D222" s="37"/>
      <c r="E222" s="37"/>
      <c r="F222" s="37"/>
      <c r="G222" s="37"/>
      <c r="H222" s="37"/>
    </row>
    <row r="223" spans="4:8" ht="15.75" customHeight="1">
      <c r="D223" s="37"/>
      <c r="E223" s="37"/>
      <c r="F223" s="37"/>
      <c r="G223" s="37"/>
      <c r="H223" s="37"/>
    </row>
    <row r="224" spans="4:8" ht="15.75" customHeight="1">
      <c r="D224" s="37"/>
      <c r="E224" s="37"/>
      <c r="F224" s="37"/>
      <c r="G224" s="37"/>
      <c r="H224" s="37"/>
    </row>
    <row r="225" spans="4:8" ht="15.75" customHeight="1">
      <c r="D225" s="37"/>
      <c r="E225" s="37"/>
      <c r="F225" s="37"/>
      <c r="G225" s="37"/>
      <c r="H225" s="37"/>
    </row>
    <row r="226" spans="4:8" ht="15.75" customHeight="1">
      <c r="D226" s="37"/>
      <c r="E226" s="37"/>
      <c r="F226" s="37"/>
      <c r="G226" s="37"/>
      <c r="H226" s="37"/>
    </row>
    <row r="227" spans="4:8" ht="15.75" customHeight="1">
      <c r="D227" s="37"/>
      <c r="E227" s="37"/>
      <c r="F227" s="37"/>
      <c r="G227" s="37"/>
      <c r="H227" s="37"/>
    </row>
    <row r="228" spans="4:8" ht="15.75" customHeight="1">
      <c r="D228" s="37"/>
      <c r="E228" s="37"/>
      <c r="F228" s="37"/>
      <c r="G228" s="37"/>
      <c r="H228" s="37"/>
    </row>
    <row r="229" spans="4:8" ht="15.75" customHeight="1">
      <c r="D229" s="37"/>
      <c r="E229" s="37"/>
      <c r="F229" s="37"/>
      <c r="G229" s="37"/>
      <c r="H229" s="37"/>
    </row>
    <row r="230" spans="4:8" ht="15.75" customHeight="1">
      <c r="D230" s="37"/>
      <c r="E230" s="37"/>
      <c r="F230" s="37"/>
      <c r="G230" s="37"/>
      <c r="H230" s="37"/>
    </row>
    <row r="231" spans="4:8" ht="15.75" customHeight="1">
      <c r="D231" s="37"/>
      <c r="E231" s="37"/>
      <c r="F231" s="37"/>
      <c r="G231" s="37"/>
      <c r="H231" s="37"/>
    </row>
    <row r="232" spans="4:8" ht="15.75" customHeight="1">
      <c r="D232" s="37"/>
      <c r="E232" s="37"/>
      <c r="F232" s="37"/>
      <c r="G232" s="37"/>
      <c r="H232" s="37"/>
    </row>
    <row r="233" spans="4:8" ht="15.75" customHeight="1">
      <c r="D233" s="37"/>
      <c r="E233" s="37"/>
      <c r="F233" s="37"/>
      <c r="G233" s="37"/>
      <c r="H233" s="37"/>
    </row>
    <row r="234" spans="4:8" ht="15.75" customHeight="1">
      <c r="D234" s="37"/>
      <c r="E234" s="37"/>
      <c r="F234" s="37"/>
      <c r="G234" s="37"/>
      <c r="H234" s="37"/>
    </row>
    <row r="235" spans="4:8" ht="15.75" customHeight="1">
      <c r="D235" s="37"/>
      <c r="E235" s="37"/>
      <c r="F235" s="37"/>
      <c r="G235" s="37"/>
      <c r="H235" s="37"/>
    </row>
    <row r="236" spans="4:8" ht="15.75" customHeight="1">
      <c r="D236" s="37"/>
      <c r="E236" s="37"/>
      <c r="F236" s="37"/>
      <c r="G236" s="37"/>
      <c r="H236" s="37"/>
    </row>
    <row r="237" spans="4:8" ht="15.75" customHeight="1">
      <c r="D237" s="37"/>
      <c r="E237" s="37"/>
      <c r="F237" s="37"/>
      <c r="G237" s="37"/>
      <c r="H237" s="37"/>
    </row>
    <row r="238" spans="4:8" ht="15.75" customHeight="1">
      <c r="D238" s="37"/>
      <c r="E238" s="37"/>
      <c r="F238" s="37"/>
      <c r="G238" s="37"/>
      <c r="H238" s="37"/>
    </row>
    <row r="239" spans="4:8" ht="15.75" customHeight="1">
      <c r="D239" s="37"/>
      <c r="E239" s="37"/>
      <c r="F239" s="37"/>
      <c r="G239" s="37"/>
      <c r="H239" s="37"/>
    </row>
    <row r="240" spans="4:8" ht="15.75" customHeight="1">
      <c r="D240" s="37"/>
      <c r="E240" s="37"/>
      <c r="F240" s="37"/>
      <c r="G240" s="37"/>
      <c r="H240" s="3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J40" xr:uid="{00000000-0009-0000-0000-000003000000}"/>
  <mergeCells count="17">
    <mergeCell ref="A5:K5"/>
    <mergeCell ref="A6:H6"/>
    <mergeCell ref="A38:J38"/>
    <mergeCell ref="A39:J39"/>
    <mergeCell ref="A40:J40"/>
    <mergeCell ref="I33:J33"/>
    <mergeCell ref="H34:J34"/>
    <mergeCell ref="A35:C35"/>
    <mergeCell ref="D35:J35"/>
    <mergeCell ref="A36:J36"/>
    <mergeCell ref="A37:J37"/>
    <mergeCell ref="A1:B3"/>
    <mergeCell ref="C1:I3"/>
    <mergeCell ref="J1:K1"/>
    <mergeCell ref="J2:K2"/>
    <mergeCell ref="B4:K4"/>
    <mergeCell ref="J3:K3"/>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Y1000"/>
  <sheetViews>
    <sheetView workbookViewId="0">
      <selection sqref="A1:A3"/>
    </sheetView>
  </sheetViews>
  <sheetFormatPr baseColWidth="10" defaultColWidth="14.42578125" defaultRowHeight="15" customHeight="1"/>
  <cols>
    <col min="1" max="1" width="20" customWidth="1"/>
    <col min="2" max="2" width="12.28515625" customWidth="1"/>
    <col min="3" max="3" width="8.42578125" customWidth="1"/>
    <col min="4" max="4" width="16.28515625" customWidth="1"/>
    <col min="5" max="5" width="16.85546875" customWidth="1"/>
    <col min="6" max="10" width="16.5703125" customWidth="1"/>
    <col min="11" max="11" width="22.140625" customWidth="1"/>
    <col min="12" max="12" width="16.5703125" customWidth="1"/>
  </cols>
  <sheetData>
    <row r="1" spans="1:25" ht="21" customHeight="1">
      <c r="A1" s="127"/>
      <c r="B1" s="129" t="s">
        <v>32</v>
      </c>
      <c r="C1" s="130"/>
      <c r="D1" s="130"/>
      <c r="E1" s="130"/>
      <c r="F1" s="130"/>
      <c r="G1" s="130"/>
      <c r="H1" s="130"/>
      <c r="I1" s="130"/>
      <c r="J1" s="131"/>
      <c r="K1" s="137" t="s">
        <v>33</v>
      </c>
      <c r="L1" s="138"/>
    </row>
    <row r="2" spans="1:25" ht="21" customHeight="1">
      <c r="A2" s="128"/>
      <c r="B2" s="132"/>
      <c r="C2" s="128"/>
      <c r="D2" s="128"/>
      <c r="E2" s="128"/>
      <c r="F2" s="128"/>
      <c r="G2" s="128"/>
      <c r="H2" s="128"/>
      <c r="I2" s="128"/>
      <c r="J2" s="133"/>
      <c r="K2" s="137" t="s">
        <v>34</v>
      </c>
      <c r="L2" s="138"/>
    </row>
    <row r="3" spans="1:25" ht="21" customHeight="1">
      <c r="A3" s="135"/>
      <c r="B3" s="134"/>
      <c r="C3" s="135"/>
      <c r="D3" s="135"/>
      <c r="E3" s="135"/>
      <c r="F3" s="135"/>
      <c r="G3" s="135"/>
      <c r="H3" s="135"/>
      <c r="I3" s="135"/>
      <c r="J3" s="136"/>
      <c r="K3" s="137" t="s">
        <v>35</v>
      </c>
      <c r="L3" s="138"/>
    </row>
    <row r="4" spans="1:25" ht="27.75" customHeight="1">
      <c r="A4" s="1" t="s">
        <v>4</v>
      </c>
      <c r="B4" s="148" t="s">
        <v>5</v>
      </c>
      <c r="C4" s="140"/>
      <c r="D4" s="140"/>
      <c r="E4" s="140"/>
      <c r="F4" s="140"/>
      <c r="G4" s="140"/>
      <c r="H4" s="140"/>
      <c r="I4" s="140"/>
      <c r="J4" s="140"/>
      <c r="K4" s="140"/>
      <c r="L4" s="138"/>
    </row>
    <row r="5" spans="1:25" ht="27.75" customHeight="1">
      <c r="A5" s="141" t="s">
        <v>36</v>
      </c>
      <c r="B5" s="140"/>
      <c r="C5" s="140"/>
      <c r="D5" s="140"/>
      <c r="E5" s="140"/>
      <c r="F5" s="140"/>
      <c r="G5" s="140"/>
      <c r="H5" s="140"/>
      <c r="I5" s="140"/>
      <c r="J5" s="140"/>
      <c r="K5" s="140"/>
      <c r="L5" s="138"/>
    </row>
    <row r="6" spans="1:25" ht="27.75" customHeight="1">
      <c r="A6" s="141" t="s">
        <v>7</v>
      </c>
      <c r="B6" s="140"/>
      <c r="C6" s="140"/>
      <c r="D6" s="140"/>
      <c r="E6" s="140"/>
      <c r="F6" s="140"/>
      <c r="G6" s="140"/>
      <c r="H6" s="140"/>
      <c r="I6" s="140"/>
      <c r="J6" s="138"/>
      <c r="K6" s="38" t="s">
        <v>8</v>
      </c>
      <c r="L6" s="39" t="s">
        <v>37</v>
      </c>
    </row>
    <row r="7" spans="1:25" ht="51" customHeight="1">
      <c r="A7" s="40" t="s">
        <v>11</v>
      </c>
      <c r="B7" s="41" t="s">
        <v>12</v>
      </c>
      <c r="C7" s="40" t="s">
        <v>38</v>
      </c>
      <c r="D7" s="40" t="s">
        <v>39</v>
      </c>
      <c r="E7" s="40" t="s">
        <v>40</v>
      </c>
      <c r="F7" s="40" t="s">
        <v>41</v>
      </c>
      <c r="G7" s="40" t="s">
        <v>42</v>
      </c>
      <c r="H7" s="40" t="s">
        <v>43</v>
      </c>
      <c r="I7" s="40" t="s">
        <v>44</v>
      </c>
      <c r="J7" s="40" t="s">
        <v>45</v>
      </c>
      <c r="K7" s="40" t="s">
        <v>46</v>
      </c>
      <c r="L7" s="40" t="s">
        <v>47</v>
      </c>
      <c r="M7" s="40" t="s">
        <v>48</v>
      </c>
      <c r="N7" s="42"/>
      <c r="O7" s="42"/>
      <c r="P7" s="42"/>
      <c r="Q7" s="42"/>
      <c r="R7" s="42"/>
      <c r="S7" s="42"/>
      <c r="T7" s="42"/>
      <c r="U7" s="42"/>
      <c r="V7" s="42"/>
      <c r="W7" s="42"/>
      <c r="X7" s="42"/>
      <c r="Y7" s="42"/>
    </row>
    <row r="8" spans="1:25">
      <c r="A8" s="8"/>
      <c r="B8" s="9"/>
      <c r="C8" s="9"/>
      <c r="D8" s="9"/>
      <c r="E8" s="9"/>
      <c r="F8" s="9"/>
      <c r="G8" s="9"/>
      <c r="H8" s="9"/>
      <c r="I8" s="9"/>
      <c r="J8" s="18"/>
      <c r="K8" s="43"/>
      <c r="L8" s="44"/>
      <c r="M8" s="10"/>
    </row>
    <row r="9" spans="1:25" ht="15.75" customHeight="1">
      <c r="A9" s="8"/>
      <c r="B9" s="9"/>
      <c r="C9" s="9"/>
      <c r="D9" s="9"/>
      <c r="E9" s="9"/>
      <c r="F9" s="9"/>
      <c r="G9" s="9"/>
      <c r="H9" s="9"/>
      <c r="I9" s="9"/>
      <c r="J9" s="18"/>
      <c r="K9" s="10"/>
      <c r="L9" s="10"/>
      <c r="M9" s="45"/>
    </row>
    <row r="10" spans="1:25">
      <c r="A10" s="8"/>
      <c r="B10" s="9"/>
      <c r="C10" s="9"/>
      <c r="D10" s="9"/>
      <c r="E10" s="9"/>
      <c r="F10" s="9"/>
      <c r="G10" s="9"/>
      <c r="H10" s="9"/>
      <c r="I10" s="9"/>
      <c r="J10" s="18"/>
      <c r="K10" s="10"/>
      <c r="L10" s="46"/>
      <c r="M10" s="45"/>
    </row>
    <row r="11" spans="1:25">
      <c r="A11" s="8"/>
      <c r="B11" s="9"/>
      <c r="C11" s="9"/>
      <c r="D11" s="9"/>
      <c r="E11" s="9"/>
      <c r="F11" s="9"/>
      <c r="G11" s="9"/>
      <c r="H11" s="9"/>
      <c r="I11" s="9"/>
      <c r="J11" s="18"/>
      <c r="K11" s="10"/>
      <c r="L11" s="10"/>
      <c r="M11" s="45"/>
    </row>
    <row r="12" spans="1:25">
      <c r="A12" s="8"/>
      <c r="B12" s="9"/>
      <c r="C12" s="9"/>
      <c r="D12" s="9"/>
      <c r="E12" s="9"/>
      <c r="F12" s="9"/>
      <c r="G12" s="9"/>
      <c r="H12" s="9"/>
      <c r="I12" s="18"/>
      <c r="J12" s="14"/>
      <c r="K12" s="10"/>
      <c r="L12" s="10"/>
      <c r="M12" s="9"/>
    </row>
    <row r="13" spans="1:25" ht="14.25" customHeight="1">
      <c r="A13" s="8"/>
      <c r="B13" s="9"/>
      <c r="C13" s="9"/>
      <c r="D13" s="9"/>
      <c r="E13" s="9"/>
      <c r="F13" s="9"/>
      <c r="G13" s="9"/>
      <c r="H13" s="9"/>
      <c r="I13" s="18"/>
      <c r="J13" s="14"/>
      <c r="K13" s="47"/>
      <c r="L13" s="48"/>
      <c r="M13" s="9"/>
    </row>
    <row r="14" spans="1:25" ht="14.25" customHeight="1">
      <c r="A14" s="49"/>
      <c r="B14" s="9"/>
      <c r="C14" s="18"/>
      <c r="D14" s="18"/>
      <c r="E14" s="18"/>
      <c r="F14" s="18"/>
      <c r="G14" s="18"/>
      <c r="H14" s="18"/>
      <c r="I14" s="18"/>
      <c r="J14" s="14"/>
      <c r="K14" s="47"/>
      <c r="L14" s="48"/>
      <c r="M14" s="9"/>
    </row>
    <row r="15" spans="1:25" ht="14.25" customHeight="1">
      <c r="A15" s="8"/>
      <c r="B15" s="9"/>
      <c r="C15" s="9"/>
      <c r="D15" s="9"/>
      <c r="E15" s="9"/>
      <c r="F15" s="9"/>
      <c r="G15" s="9"/>
      <c r="H15" s="9"/>
      <c r="I15" s="9"/>
      <c r="J15" s="14"/>
      <c r="K15" s="50"/>
      <c r="L15" s="48"/>
      <c r="M15" s="9"/>
    </row>
    <row r="16" spans="1:25" ht="14.25" customHeight="1">
      <c r="A16" s="8"/>
      <c r="B16" s="9"/>
      <c r="C16" s="9"/>
      <c r="D16" s="9"/>
      <c r="E16" s="9"/>
      <c r="F16" s="9"/>
      <c r="G16" s="9"/>
      <c r="H16" s="9"/>
      <c r="I16" s="9"/>
      <c r="J16" s="14"/>
      <c r="K16" s="50"/>
      <c r="L16" s="48"/>
      <c r="M16" s="9"/>
    </row>
    <row r="17" spans="1:13" ht="14.25" customHeight="1">
      <c r="A17" s="8"/>
      <c r="B17" s="9"/>
      <c r="C17" s="51"/>
      <c r="D17" s="9"/>
      <c r="E17" s="9"/>
      <c r="F17" s="9"/>
      <c r="G17" s="9"/>
      <c r="H17" s="9"/>
      <c r="I17" s="9"/>
      <c r="J17" s="18"/>
      <c r="K17" s="50"/>
      <c r="L17" s="48"/>
      <c r="M17" s="9"/>
    </row>
    <row r="18" spans="1:13" ht="14.25" customHeight="1">
      <c r="A18" s="8"/>
      <c r="B18" s="9"/>
      <c r="C18" s="52"/>
      <c r="D18" s="9"/>
      <c r="E18" s="9"/>
      <c r="F18" s="9"/>
      <c r="G18" s="9"/>
      <c r="H18" s="9"/>
      <c r="I18" s="9"/>
      <c r="J18" s="18"/>
      <c r="K18" s="9"/>
      <c r="L18" s="53"/>
      <c r="M18" s="9"/>
    </row>
    <row r="19" spans="1:13" ht="14.25" customHeight="1">
      <c r="A19" s="8"/>
      <c r="B19" s="9"/>
      <c r="C19" s="52"/>
      <c r="D19" s="9"/>
      <c r="E19" s="9"/>
      <c r="F19" s="9"/>
      <c r="G19" s="9"/>
      <c r="H19" s="9"/>
      <c r="I19" s="9"/>
      <c r="J19" s="18"/>
      <c r="K19" s="9"/>
      <c r="L19" s="53"/>
      <c r="M19" s="9"/>
    </row>
    <row r="20" spans="1:13" ht="14.25" customHeight="1">
      <c r="A20" s="54"/>
      <c r="B20" s="9"/>
      <c r="C20" s="52"/>
      <c r="D20" s="9"/>
      <c r="E20" s="9"/>
      <c r="F20" s="9"/>
      <c r="G20" s="9"/>
      <c r="H20" s="9"/>
      <c r="I20" s="9"/>
      <c r="J20" s="18"/>
      <c r="K20" s="9"/>
      <c r="L20" s="53"/>
      <c r="M20" s="9"/>
    </row>
    <row r="21" spans="1:13" ht="14.25" customHeight="1">
      <c r="A21" s="54"/>
      <c r="B21" s="9"/>
      <c r="C21" s="52"/>
      <c r="D21" s="9"/>
      <c r="E21" s="9"/>
      <c r="F21" s="9"/>
      <c r="G21" s="9"/>
      <c r="H21" s="9"/>
      <c r="I21" s="9"/>
      <c r="J21" s="18"/>
      <c r="K21" s="9"/>
      <c r="L21" s="53"/>
      <c r="M21" s="9"/>
    </row>
    <row r="22" spans="1:13" ht="14.25" customHeight="1">
      <c r="A22" s="54"/>
      <c r="B22" s="10"/>
      <c r="C22" s="51"/>
      <c r="D22" s="22"/>
      <c r="E22" s="22"/>
      <c r="F22" s="22"/>
      <c r="G22" s="22"/>
      <c r="H22" s="22"/>
      <c r="I22" s="22"/>
      <c r="J22" s="18"/>
      <c r="K22" s="9"/>
      <c r="L22" s="53"/>
      <c r="M22" s="9"/>
    </row>
    <row r="23" spans="1:13" ht="14.25" customHeight="1">
      <c r="A23" s="54"/>
      <c r="B23" s="10"/>
      <c r="C23" s="52"/>
      <c r="D23" s="22"/>
      <c r="E23" s="22"/>
      <c r="F23" s="22"/>
      <c r="G23" s="22"/>
      <c r="H23" s="22"/>
      <c r="I23" s="22"/>
      <c r="J23" s="18"/>
      <c r="K23" s="9"/>
      <c r="L23" s="53"/>
      <c r="M23" s="9"/>
    </row>
    <row r="24" spans="1:13" ht="14.25" customHeight="1">
      <c r="A24" s="54"/>
      <c r="B24" s="10"/>
      <c r="C24" s="52"/>
      <c r="D24" s="22"/>
      <c r="E24" s="22"/>
      <c r="F24" s="22"/>
      <c r="G24" s="22"/>
      <c r="H24" s="22"/>
      <c r="I24" s="22"/>
      <c r="J24" s="18"/>
      <c r="K24" s="9"/>
      <c r="L24" s="53"/>
      <c r="M24" s="9"/>
    </row>
    <row r="25" spans="1:13" ht="14.25" customHeight="1">
      <c r="A25" s="54"/>
      <c r="B25" s="10"/>
      <c r="C25" s="52"/>
      <c r="D25" s="22"/>
      <c r="E25" s="22"/>
      <c r="F25" s="22"/>
      <c r="G25" s="22"/>
      <c r="H25" s="22"/>
      <c r="I25" s="22"/>
      <c r="J25" s="18"/>
      <c r="K25" s="9"/>
      <c r="L25" s="53"/>
      <c r="M25" s="9"/>
    </row>
    <row r="26" spans="1:13" ht="15.75" customHeight="1">
      <c r="A26" s="54"/>
      <c r="B26" s="10"/>
      <c r="C26" s="52"/>
      <c r="D26" s="22"/>
      <c r="E26" s="22"/>
      <c r="F26" s="22"/>
      <c r="G26" s="22"/>
      <c r="H26" s="22"/>
      <c r="I26" s="22"/>
      <c r="J26" s="18"/>
      <c r="K26" s="9"/>
      <c r="L26" s="53"/>
      <c r="M26" s="9"/>
    </row>
    <row r="27" spans="1:13" ht="15.75" customHeight="1">
      <c r="A27" s="54"/>
      <c r="B27" s="10"/>
      <c r="C27" s="51"/>
      <c r="D27" s="22"/>
      <c r="E27" s="22"/>
      <c r="F27" s="22"/>
      <c r="G27" s="22"/>
      <c r="H27" s="22"/>
      <c r="I27" s="22"/>
      <c r="J27" s="18"/>
      <c r="K27" s="9"/>
      <c r="L27" s="53"/>
      <c r="M27" s="9"/>
    </row>
    <row r="28" spans="1:13" ht="15.75" customHeight="1">
      <c r="A28" s="54"/>
      <c r="B28" s="10"/>
      <c r="C28" s="52"/>
      <c r="D28" s="22"/>
      <c r="E28" s="22"/>
      <c r="F28" s="22"/>
      <c r="G28" s="22"/>
      <c r="H28" s="22"/>
      <c r="I28" s="22"/>
      <c r="J28" s="18"/>
      <c r="K28" s="9"/>
      <c r="L28" s="53"/>
      <c r="M28" s="9"/>
    </row>
    <row r="29" spans="1:13" ht="15.75" customHeight="1">
      <c r="A29" s="24"/>
      <c r="B29" s="55"/>
      <c r="C29" s="51"/>
      <c r="D29" s="22"/>
      <c r="E29" s="22"/>
      <c r="F29" s="22"/>
      <c r="G29" s="22"/>
      <c r="H29" s="56"/>
      <c r="I29" s="9"/>
      <c r="J29" s="18"/>
      <c r="K29" s="9"/>
      <c r="L29" s="53"/>
      <c r="M29" s="9"/>
    </row>
    <row r="30" spans="1:13" ht="15.75" customHeight="1">
      <c r="A30" s="24"/>
      <c r="B30" s="20"/>
      <c r="C30" s="51"/>
      <c r="D30" s="22"/>
      <c r="E30" s="22"/>
      <c r="F30" s="22"/>
      <c r="G30" s="22"/>
      <c r="H30" s="56"/>
      <c r="I30" s="9"/>
      <c r="J30" s="18"/>
      <c r="K30" s="9"/>
      <c r="L30" s="57"/>
      <c r="M30" s="9"/>
    </row>
    <row r="31" spans="1:13" ht="15.75" customHeight="1">
      <c r="A31" s="58"/>
      <c r="B31" s="9"/>
      <c r="C31" s="59"/>
      <c r="D31" s="53"/>
      <c r="E31" s="53"/>
      <c r="F31" s="53"/>
      <c r="G31" s="53"/>
      <c r="H31" s="53"/>
      <c r="I31" s="53"/>
      <c r="J31" s="18"/>
      <c r="K31" s="53"/>
      <c r="L31" s="53"/>
      <c r="M31" s="9"/>
    </row>
    <row r="32" spans="1:13" ht="15.75" customHeight="1">
      <c r="A32" s="9"/>
      <c r="B32" s="9"/>
      <c r="C32" s="59"/>
      <c r="D32" s="53"/>
      <c r="E32" s="53"/>
      <c r="F32" s="53"/>
      <c r="G32" s="53"/>
      <c r="H32" s="53"/>
      <c r="I32" s="53"/>
      <c r="J32" s="18"/>
      <c r="K32" s="53"/>
      <c r="L32" s="53"/>
      <c r="M32" s="9"/>
    </row>
    <row r="33" spans="1:12" ht="15.75" customHeight="1">
      <c r="A33" s="150">
        <f>SUM(C8:C32)</f>
        <v>0</v>
      </c>
      <c r="B33" s="130"/>
      <c r="C33" s="131"/>
      <c r="D33" s="60">
        <f t="shared" ref="D33:I33" si="0">(COUNTIF(D8:D32,"SI")*1+COUNTIF(D8:D32,"NO")*0+COUNTIF(D8:D32,"NA")*0)</f>
        <v>0</v>
      </c>
      <c r="E33" s="60">
        <f t="shared" si="0"/>
        <v>0</v>
      </c>
      <c r="F33" s="60">
        <f t="shared" si="0"/>
        <v>0</v>
      </c>
      <c r="G33" s="60">
        <f t="shared" si="0"/>
        <v>0</v>
      </c>
      <c r="H33" s="60">
        <f t="shared" si="0"/>
        <v>0</v>
      </c>
      <c r="I33" s="60">
        <f t="shared" si="0"/>
        <v>0</v>
      </c>
      <c r="J33" s="151"/>
      <c r="K33" s="130"/>
      <c r="L33" s="131"/>
    </row>
    <row r="34" spans="1:12" ht="15.75" customHeight="1">
      <c r="A34" s="134"/>
      <c r="B34" s="135"/>
      <c r="C34" s="136"/>
      <c r="D34" s="61" t="e">
        <f>(D33/A33)*100</f>
        <v>#DIV/0!</v>
      </c>
      <c r="E34" s="61" t="e">
        <f>(E33/A33)*100</f>
        <v>#DIV/0!</v>
      </c>
      <c r="F34" s="61" t="e">
        <f>(F33/A33)*100</f>
        <v>#DIV/0!</v>
      </c>
      <c r="G34" s="61" t="e">
        <f>(G33/A33)*100</f>
        <v>#DIV/0!</v>
      </c>
      <c r="H34" s="61" t="e">
        <f>(H33/A33)*100</f>
        <v>#DIV/0!</v>
      </c>
      <c r="I34" s="61" t="e">
        <f>(I33/A33)*100</f>
        <v>#DIV/0!</v>
      </c>
      <c r="J34" s="132"/>
      <c r="K34" s="128"/>
      <c r="L34" s="133"/>
    </row>
    <row r="35" spans="1:12" ht="36" customHeight="1">
      <c r="A35" s="152" t="s">
        <v>26</v>
      </c>
      <c r="B35" s="140"/>
      <c r="C35" s="138"/>
      <c r="D35" s="153" t="e">
        <f>SUM(D34+E34+F34+G34+H34+I34)/6</f>
        <v>#DIV/0!</v>
      </c>
      <c r="E35" s="140"/>
      <c r="F35" s="140"/>
      <c r="G35" s="140"/>
      <c r="H35" s="140"/>
      <c r="I35" s="138"/>
      <c r="J35" s="134"/>
      <c r="K35" s="135"/>
      <c r="L35" s="136"/>
    </row>
    <row r="36" spans="1:12" ht="16.5" customHeight="1">
      <c r="A36" s="149" t="s">
        <v>49</v>
      </c>
      <c r="B36" s="140"/>
      <c r="C36" s="140"/>
      <c r="D36" s="140"/>
      <c r="E36" s="140"/>
      <c r="F36" s="140"/>
      <c r="G36" s="140"/>
      <c r="H36" s="140"/>
      <c r="I36" s="140"/>
      <c r="J36" s="140"/>
      <c r="K36" s="140"/>
      <c r="L36" s="138"/>
    </row>
    <row r="37" spans="1:12" ht="15.75" customHeight="1">
      <c r="A37" s="147" t="s">
        <v>50</v>
      </c>
      <c r="B37" s="140"/>
      <c r="C37" s="140"/>
      <c r="D37" s="140"/>
      <c r="E37" s="140"/>
      <c r="F37" s="140"/>
      <c r="G37" s="140"/>
      <c r="H37" s="140"/>
      <c r="I37" s="140"/>
      <c r="J37" s="140"/>
      <c r="K37" s="140"/>
      <c r="L37" s="138"/>
    </row>
    <row r="38" spans="1:12" ht="15.75" customHeight="1">
      <c r="A38" s="142" t="s">
        <v>51</v>
      </c>
      <c r="B38" s="140"/>
      <c r="C38" s="140"/>
      <c r="D38" s="140"/>
      <c r="E38" s="140"/>
      <c r="F38" s="140"/>
      <c r="G38" s="140"/>
      <c r="H38" s="140"/>
      <c r="I38" s="140"/>
      <c r="J38" s="140"/>
      <c r="K38" s="140"/>
      <c r="L38" s="138"/>
    </row>
    <row r="39" spans="1:12" ht="15.75" customHeight="1">
      <c r="A39" s="149" t="s">
        <v>52</v>
      </c>
      <c r="B39" s="140"/>
      <c r="C39" s="140"/>
      <c r="D39" s="140"/>
      <c r="E39" s="140"/>
      <c r="F39" s="140"/>
      <c r="G39" s="140"/>
      <c r="H39" s="140"/>
      <c r="I39" s="140"/>
      <c r="J39" s="140"/>
      <c r="K39" s="140"/>
      <c r="L39" s="138"/>
    </row>
    <row r="40" spans="1:12" ht="15.75" customHeight="1">
      <c r="A40" s="149" t="s">
        <v>53</v>
      </c>
      <c r="B40" s="140"/>
      <c r="C40" s="140"/>
      <c r="D40" s="140"/>
      <c r="E40" s="140"/>
      <c r="F40" s="140"/>
      <c r="G40" s="140"/>
      <c r="H40" s="140"/>
      <c r="I40" s="140"/>
      <c r="J40" s="140"/>
      <c r="K40" s="140"/>
      <c r="L40" s="138"/>
    </row>
    <row r="41" spans="1:12" ht="15.75" customHeight="1">
      <c r="A41" s="149" t="s">
        <v>54</v>
      </c>
      <c r="B41" s="140"/>
      <c r="C41" s="140"/>
      <c r="D41" s="140"/>
      <c r="E41" s="140"/>
      <c r="F41" s="140"/>
      <c r="G41" s="140"/>
      <c r="H41" s="140"/>
      <c r="I41" s="140"/>
      <c r="J41" s="140"/>
      <c r="K41" s="140"/>
      <c r="L41" s="138"/>
    </row>
    <row r="42" spans="1:12" ht="15.75" customHeight="1">
      <c r="D42" s="37"/>
      <c r="E42" s="37"/>
      <c r="F42" s="37"/>
      <c r="G42" s="37"/>
      <c r="H42" s="37"/>
      <c r="I42" s="37"/>
      <c r="J42" s="37"/>
      <c r="K42" s="37"/>
      <c r="L42" s="37"/>
    </row>
    <row r="43" spans="1:12" ht="15.75" customHeight="1">
      <c r="D43" s="37"/>
      <c r="E43" s="37"/>
      <c r="F43" s="37"/>
      <c r="G43" s="37"/>
      <c r="H43" s="37"/>
      <c r="I43" s="37"/>
      <c r="J43" s="37"/>
      <c r="K43" s="37"/>
      <c r="L43" s="37"/>
    </row>
    <row r="44" spans="1:12" ht="15.75" customHeight="1">
      <c r="D44" s="37"/>
      <c r="E44" s="37"/>
      <c r="F44" s="37"/>
      <c r="G44" s="37"/>
      <c r="H44" s="37"/>
      <c r="I44" s="37"/>
      <c r="J44" s="37"/>
      <c r="K44" s="37"/>
      <c r="L44" s="37"/>
    </row>
    <row r="45" spans="1:12" ht="15.75" customHeight="1">
      <c r="D45" s="37"/>
      <c r="E45" s="37"/>
      <c r="F45" s="37"/>
      <c r="G45" s="37"/>
      <c r="H45" s="37"/>
      <c r="I45" s="37"/>
      <c r="J45" s="37"/>
      <c r="K45" s="37"/>
      <c r="L45" s="37"/>
    </row>
    <row r="46" spans="1:12" ht="15.75" customHeight="1">
      <c r="D46" s="37"/>
      <c r="E46" s="37"/>
      <c r="F46" s="37"/>
      <c r="G46" s="37"/>
      <c r="H46" s="37"/>
      <c r="I46" s="37"/>
      <c r="J46" s="37"/>
      <c r="K46" s="37"/>
      <c r="L46" s="37"/>
    </row>
    <row r="47" spans="1:12" ht="15.75" customHeight="1">
      <c r="D47" s="37"/>
      <c r="E47" s="37"/>
      <c r="F47" s="37"/>
      <c r="G47" s="37"/>
      <c r="H47" s="37"/>
      <c r="I47" s="37"/>
      <c r="J47" s="37"/>
      <c r="K47" s="37"/>
      <c r="L47" s="37"/>
    </row>
    <row r="48" spans="1:12" ht="15.75" customHeight="1">
      <c r="D48" s="37"/>
      <c r="E48" s="37"/>
      <c r="F48" s="37"/>
      <c r="G48" s="37"/>
      <c r="H48" s="37"/>
      <c r="I48" s="37"/>
      <c r="J48" s="37"/>
      <c r="K48" s="37"/>
      <c r="L48" s="37"/>
    </row>
    <row r="49" spans="4:12" ht="15.75" customHeight="1">
      <c r="D49" s="37"/>
      <c r="E49" s="37"/>
      <c r="F49" s="37"/>
      <c r="G49" s="37"/>
      <c r="H49" s="37"/>
      <c r="I49" s="37"/>
      <c r="J49" s="37"/>
      <c r="K49" s="37"/>
      <c r="L49" s="37"/>
    </row>
    <row r="50" spans="4:12" ht="15.75" customHeight="1">
      <c r="D50" s="37"/>
      <c r="E50" s="37"/>
      <c r="F50" s="37"/>
      <c r="G50" s="37"/>
      <c r="H50" s="37"/>
      <c r="I50" s="37"/>
      <c r="J50" s="37"/>
      <c r="K50" s="37"/>
      <c r="L50" s="37"/>
    </row>
    <row r="51" spans="4:12" ht="15.75" customHeight="1">
      <c r="D51" s="37"/>
      <c r="E51" s="37"/>
      <c r="F51" s="37"/>
      <c r="G51" s="37"/>
      <c r="H51" s="37"/>
      <c r="I51" s="37"/>
      <c r="J51" s="37"/>
      <c r="K51" s="37"/>
      <c r="L51" s="37"/>
    </row>
    <row r="52" spans="4:12" ht="15.75" customHeight="1">
      <c r="D52" s="37"/>
      <c r="E52" s="37"/>
      <c r="F52" s="37"/>
      <c r="G52" s="37"/>
      <c r="H52" s="37"/>
      <c r="I52" s="37"/>
      <c r="J52" s="37"/>
      <c r="K52" s="37"/>
      <c r="L52" s="37"/>
    </row>
    <row r="53" spans="4:12" ht="15.75" customHeight="1">
      <c r="D53" s="37"/>
      <c r="E53" s="37"/>
      <c r="F53" s="37"/>
      <c r="G53" s="37"/>
      <c r="H53" s="37"/>
      <c r="I53" s="37"/>
      <c r="J53" s="37"/>
      <c r="K53" s="37"/>
      <c r="L53" s="37"/>
    </row>
    <row r="54" spans="4:12" ht="15.75" customHeight="1">
      <c r="D54" s="37"/>
      <c r="E54" s="37"/>
      <c r="F54" s="37"/>
      <c r="G54" s="37"/>
      <c r="H54" s="37"/>
      <c r="I54" s="37"/>
      <c r="J54" s="37"/>
      <c r="K54" s="37"/>
      <c r="L54" s="37"/>
    </row>
    <row r="55" spans="4:12" ht="15.75" customHeight="1">
      <c r="D55" s="37"/>
      <c r="E55" s="37"/>
      <c r="F55" s="37"/>
      <c r="G55" s="37"/>
      <c r="H55" s="37"/>
      <c r="I55" s="37"/>
      <c r="J55" s="37"/>
      <c r="K55" s="37"/>
      <c r="L55" s="37"/>
    </row>
    <row r="56" spans="4:12" ht="15.75" customHeight="1">
      <c r="D56" s="37"/>
      <c r="E56" s="37"/>
      <c r="F56" s="37"/>
      <c r="G56" s="37"/>
      <c r="H56" s="37"/>
      <c r="I56" s="37"/>
      <c r="J56" s="37"/>
      <c r="K56" s="37"/>
      <c r="L56" s="37"/>
    </row>
    <row r="57" spans="4:12" ht="15.75" customHeight="1">
      <c r="D57" s="37"/>
      <c r="E57" s="37"/>
      <c r="F57" s="37"/>
      <c r="G57" s="37"/>
      <c r="H57" s="37"/>
      <c r="I57" s="37"/>
      <c r="J57" s="37"/>
      <c r="K57" s="37"/>
      <c r="L57" s="37"/>
    </row>
    <row r="58" spans="4:12" ht="15.75" customHeight="1">
      <c r="D58" s="37"/>
      <c r="E58" s="37"/>
      <c r="F58" s="37"/>
      <c r="G58" s="37"/>
      <c r="H58" s="37"/>
      <c r="I58" s="37"/>
      <c r="J58" s="37"/>
      <c r="K58" s="37"/>
      <c r="L58" s="37"/>
    </row>
    <row r="59" spans="4:12" ht="15.75" customHeight="1">
      <c r="D59" s="37"/>
      <c r="E59" s="37"/>
      <c r="F59" s="37"/>
      <c r="G59" s="37"/>
      <c r="H59" s="37"/>
      <c r="I59" s="37"/>
      <c r="J59" s="37"/>
      <c r="K59" s="37"/>
      <c r="L59" s="37"/>
    </row>
    <row r="60" spans="4:12" ht="15.75" customHeight="1">
      <c r="D60" s="37"/>
      <c r="E60" s="37"/>
      <c r="F60" s="37"/>
      <c r="G60" s="37"/>
      <c r="H60" s="37"/>
      <c r="I60" s="37"/>
      <c r="J60" s="37"/>
      <c r="K60" s="37"/>
      <c r="L60" s="37"/>
    </row>
    <row r="61" spans="4:12" ht="15.75" customHeight="1">
      <c r="D61" s="37"/>
      <c r="E61" s="37"/>
      <c r="F61" s="37"/>
      <c r="G61" s="37"/>
      <c r="H61" s="37"/>
      <c r="I61" s="37"/>
      <c r="J61" s="37"/>
      <c r="K61" s="37"/>
      <c r="L61" s="37"/>
    </row>
    <row r="62" spans="4:12" ht="15.75" customHeight="1">
      <c r="D62" s="37"/>
      <c r="E62" s="37"/>
      <c r="F62" s="37"/>
      <c r="G62" s="37"/>
      <c r="H62" s="37"/>
      <c r="I62" s="37"/>
      <c r="J62" s="37"/>
      <c r="K62" s="37"/>
      <c r="L62" s="37"/>
    </row>
    <row r="63" spans="4:12" ht="15.75" customHeight="1">
      <c r="D63" s="37"/>
      <c r="E63" s="37"/>
      <c r="F63" s="37"/>
      <c r="G63" s="37"/>
      <c r="H63" s="37"/>
      <c r="I63" s="37"/>
      <c r="J63" s="37"/>
      <c r="K63" s="37"/>
      <c r="L63" s="37"/>
    </row>
    <row r="64" spans="4:12" ht="15.75" customHeight="1">
      <c r="D64" s="37"/>
      <c r="E64" s="37"/>
      <c r="F64" s="37"/>
      <c r="G64" s="37"/>
      <c r="H64" s="37"/>
      <c r="I64" s="37"/>
      <c r="J64" s="37"/>
      <c r="K64" s="37"/>
      <c r="L64" s="37"/>
    </row>
    <row r="65" spans="4:12" ht="15.75" customHeight="1">
      <c r="D65" s="37"/>
      <c r="E65" s="37"/>
      <c r="F65" s="37"/>
      <c r="G65" s="37"/>
      <c r="H65" s="37"/>
      <c r="I65" s="37"/>
      <c r="J65" s="37"/>
      <c r="K65" s="37"/>
      <c r="L65" s="37"/>
    </row>
    <row r="66" spans="4:12" ht="15.75" customHeight="1">
      <c r="D66" s="37"/>
      <c r="E66" s="37"/>
      <c r="F66" s="37"/>
      <c r="G66" s="37"/>
      <c r="H66" s="37"/>
      <c r="I66" s="37"/>
      <c r="J66" s="37"/>
      <c r="K66" s="37"/>
      <c r="L66" s="37"/>
    </row>
    <row r="67" spans="4:12" ht="15.75" customHeight="1">
      <c r="D67" s="37"/>
      <c r="E67" s="37"/>
      <c r="F67" s="37"/>
      <c r="G67" s="37"/>
      <c r="H67" s="37"/>
      <c r="I67" s="37"/>
      <c r="J67" s="37"/>
      <c r="K67" s="37"/>
      <c r="L67" s="37"/>
    </row>
    <row r="68" spans="4:12" ht="15.75" customHeight="1">
      <c r="D68" s="37"/>
      <c r="E68" s="37"/>
      <c r="F68" s="37"/>
      <c r="G68" s="37"/>
      <c r="H68" s="37"/>
      <c r="I68" s="37"/>
      <c r="J68" s="37"/>
      <c r="K68" s="37"/>
      <c r="L68" s="37"/>
    </row>
    <row r="69" spans="4:12" ht="15.75" customHeight="1">
      <c r="D69" s="37"/>
      <c r="E69" s="37"/>
      <c r="F69" s="37"/>
      <c r="G69" s="37"/>
      <c r="H69" s="37"/>
      <c r="I69" s="37"/>
      <c r="J69" s="37"/>
      <c r="K69" s="37"/>
      <c r="L69" s="37"/>
    </row>
    <row r="70" spans="4:12" ht="15.75" customHeight="1">
      <c r="D70" s="37"/>
      <c r="E70" s="37"/>
      <c r="F70" s="37"/>
      <c r="G70" s="37"/>
      <c r="H70" s="37"/>
      <c r="I70" s="37"/>
      <c r="J70" s="37"/>
      <c r="K70" s="37"/>
      <c r="L70" s="37"/>
    </row>
    <row r="71" spans="4:12" ht="15.75" customHeight="1">
      <c r="D71" s="37"/>
      <c r="E71" s="37"/>
      <c r="F71" s="37"/>
      <c r="G71" s="37"/>
      <c r="H71" s="37"/>
      <c r="I71" s="37"/>
      <c r="J71" s="37"/>
      <c r="K71" s="37"/>
      <c r="L71" s="37"/>
    </row>
    <row r="72" spans="4:12" ht="15.75" customHeight="1">
      <c r="D72" s="37"/>
      <c r="E72" s="37"/>
      <c r="F72" s="37"/>
      <c r="G72" s="37"/>
      <c r="H72" s="37"/>
      <c r="I72" s="37"/>
      <c r="J72" s="37"/>
      <c r="K72" s="37"/>
      <c r="L72" s="37"/>
    </row>
    <row r="73" spans="4:12" ht="15.75" customHeight="1">
      <c r="D73" s="37"/>
      <c r="E73" s="37"/>
      <c r="F73" s="37"/>
      <c r="G73" s="37"/>
      <c r="H73" s="37"/>
      <c r="I73" s="37"/>
      <c r="J73" s="37"/>
      <c r="K73" s="37"/>
      <c r="L73" s="37"/>
    </row>
    <row r="74" spans="4:12" ht="15.75" customHeight="1">
      <c r="D74" s="37"/>
      <c r="E74" s="37"/>
      <c r="F74" s="37"/>
      <c r="G74" s="37"/>
      <c r="H74" s="37"/>
      <c r="I74" s="37"/>
      <c r="J74" s="37"/>
      <c r="K74" s="37"/>
      <c r="L74" s="37"/>
    </row>
    <row r="75" spans="4:12" ht="15.75" customHeight="1">
      <c r="D75" s="37"/>
      <c r="E75" s="37"/>
      <c r="F75" s="37"/>
      <c r="G75" s="37"/>
      <c r="H75" s="37"/>
      <c r="I75" s="37"/>
      <c r="J75" s="37"/>
      <c r="K75" s="37"/>
      <c r="L75" s="37"/>
    </row>
    <row r="76" spans="4:12" ht="15.75" customHeight="1">
      <c r="D76" s="37"/>
      <c r="E76" s="37"/>
      <c r="F76" s="37"/>
      <c r="G76" s="37"/>
      <c r="H76" s="37"/>
      <c r="I76" s="37"/>
      <c r="J76" s="37"/>
      <c r="K76" s="37"/>
      <c r="L76" s="37"/>
    </row>
    <row r="77" spans="4:12" ht="15.75" customHeight="1">
      <c r="D77" s="37"/>
      <c r="E77" s="37"/>
      <c r="F77" s="37"/>
      <c r="G77" s="37"/>
      <c r="H77" s="37"/>
      <c r="I77" s="37"/>
      <c r="J77" s="37"/>
      <c r="K77" s="37"/>
      <c r="L77" s="37"/>
    </row>
    <row r="78" spans="4:12" ht="15.75" customHeight="1">
      <c r="D78" s="37"/>
      <c r="E78" s="37"/>
      <c r="F78" s="37"/>
      <c r="G78" s="37"/>
      <c r="H78" s="37"/>
      <c r="I78" s="37"/>
      <c r="J78" s="37"/>
      <c r="K78" s="37"/>
      <c r="L78" s="37"/>
    </row>
    <row r="79" spans="4:12" ht="15.75" customHeight="1">
      <c r="D79" s="37"/>
      <c r="E79" s="37"/>
      <c r="F79" s="37"/>
      <c r="G79" s="37"/>
      <c r="H79" s="37"/>
      <c r="I79" s="37"/>
      <c r="J79" s="37"/>
      <c r="K79" s="37"/>
      <c r="L79" s="37"/>
    </row>
    <row r="80" spans="4:12" ht="15.75" customHeight="1">
      <c r="D80" s="37"/>
      <c r="E80" s="37"/>
      <c r="F80" s="37"/>
      <c r="G80" s="37"/>
      <c r="H80" s="37"/>
      <c r="I80" s="37"/>
      <c r="J80" s="37"/>
      <c r="K80" s="37"/>
      <c r="L80" s="37"/>
    </row>
    <row r="81" spans="4:12" ht="15.75" customHeight="1">
      <c r="D81" s="37"/>
      <c r="E81" s="37"/>
      <c r="F81" s="37"/>
      <c r="G81" s="37"/>
      <c r="H81" s="37"/>
      <c r="I81" s="37"/>
      <c r="J81" s="37"/>
      <c r="K81" s="37"/>
      <c r="L81" s="37"/>
    </row>
    <row r="82" spans="4:12" ht="15.75" customHeight="1">
      <c r="D82" s="37"/>
      <c r="E82" s="37"/>
      <c r="F82" s="37"/>
      <c r="G82" s="37"/>
      <c r="H82" s="37"/>
      <c r="I82" s="37"/>
      <c r="J82" s="37"/>
      <c r="K82" s="37"/>
      <c r="L82" s="37"/>
    </row>
    <row r="83" spans="4:12" ht="15.75" customHeight="1">
      <c r="D83" s="37"/>
      <c r="E83" s="37"/>
      <c r="F83" s="37"/>
      <c r="G83" s="37"/>
      <c r="H83" s="37"/>
      <c r="I83" s="37"/>
      <c r="J83" s="37"/>
      <c r="K83" s="37"/>
      <c r="L83" s="37"/>
    </row>
    <row r="84" spans="4:12" ht="15.75" customHeight="1">
      <c r="D84" s="37"/>
      <c r="E84" s="37"/>
      <c r="F84" s="37"/>
      <c r="G84" s="37"/>
      <c r="H84" s="37"/>
      <c r="I84" s="37"/>
      <c r="J84" s="37"/>
      <c r="K84" s="37"/>
      <c r="L84" s="37"/>
    </row>
    <row r="85" spans="4:12" ht="15.75" customHeight="1">
      <c r="D85" s="37"/>
      <c r="E85" s="37"/>
      <c r="F85" s="37"/>
      <c r="G85" s="37"/>
      <c r="H85" s="37"/>
      <c r="I85" s="37"/>
      <c r="J85" s="37"/>
      <c r="K85" s="37"/>
      <c r="L85" s="37"/>
    </row>
    <row r="86" spans="4:12" ht="15.75" customHeight="1">
      <c r="D86" s="37"/>
      <c r="E86" s="37"/>
      <c r="F86" s="37"/>
      <c r="G86" s="37"/>
      <c r="H86" s="37"/>
      <c r="I86" s="37"/>
      <c r="J86" s="37"/>
      <c r="K86" s="37"/>
      <c r="L86" s="37"/>
    </row>
    <row r="87" spans="4:12" ht="15.75" customHeight="1">
      <c r="D87" s="37"/>
      <c r="E87" s="37"/>
      <c r="F87" s="37"/>
      <c r="G87" s="37"/>
      <c r="H87" s="37"/>
      <c r="I87" s="37"/>
      <c r="J87" s="37"/>
      <c r="K87" s="37"/>
      <c r="L87" s="37"/>
    </row>
    <row r="88" spans="4:12" ht="15.75" customHeight="1">
      <c r="D88" s="37"/>
      <c r="E88" s="37"/>
      <c r="F88" s="37"/>
      <c r="G88" s="37"/>
      <c r="H88" s="37"/>
      <c r="I88" s="37"/>
      <c r="J88" s="37"/>
      <c r="K88" s="37"/>
      <c r="L88" s="37"/>
    </row>
    <row r="89" spans="4:12" ht="15.75" customHeight="1">
      <c r="D89" s="37"/>
      <c r="E89" s="37"/>
      <c r="F89" s="37"/>
      <c r="G89" s="37"/>
      <c r="H89" s="37"/>
      <c r="I89" s="37"/>
      <c r="J89" s="37"/>
      <c r="K89" s="37"/>
      <c r="L89" s="37"/>
    </row>
    <row r="90" spans="4:12" ht="15.75" customHeight="1">
      <c r="D90" s="37"/>
      <c r="E90" s="37"/>
      <c r="F90" s="37"/>
      <c r="G90" s="37"/>
      <c r="H90" s="37"/>
      <c r="I90" s="37"/>
      <c r="J90" s="37"/>
      <c r="K90" s="37"/>
      <c r="L90" s="37"/>
    </row>
    <row r="91" spans="4:12" ht="15.75" customHeight="1">
      <c r="D91" s="37"/>
      <c r="E91" s="37"/>
      <c r="F91" s="37"/>
      <c r="G91" s="37"/>
      <c r="H91" s="37"/>
      <c r="I91" s="37"/>
      <c r="J91" s="37"/>
      <c r="K91" s="37"/>
      <c r="L91" s="37"/>
    </row>
    <row r="92" spans="4:12" ht="15.75" customHeight="1">
      <c r="D92" s="37"/>
      <c r="E92" s="37"/>
      <c r="F92" s="37"/>
      <c r="G92" s="37"/>
      <c r="H92" s="37"/>
      <c r="I92" s="37"/>
      <c r="J92" s="37"/>
      <c r="K92" s="37"/>
      <c r="L92" s="37"/>
    </row>
    <row r="93" spans="4:12" ht="15.75" customHeight="1">
      <c r="D93" s="37"/>
      <c r="E93" s="37"/>
      <c r="F93" s="37"/>
      <c r="G93" s="37"/>
      <c r="H93" s="37"/>
      <c r="I93" s="37"/>
      <c r="J93" s="37"/>
      <c r="K93" s="37"/>
      <c r="L93" s="37"/>
    </row>
    <row r="94" spans="4:12" ht="15.75" customHeight="1">
      <c r="D94" s="37"/>
      <c r="E94" s="37"/>
      <c r="F94" s="37"/>
      <c r="G94" s="37"/>
      <c r="H94" s="37"/>
      <c r="I94" s="37"/>
      <c r="J94" s="37"/>
      <c r="K94" s="37"/>
      <c r="L94" s="37"/>
    </row>
    <row r="95" spans="4:12" ht="15.75" customHeight="1">
      <c r="D95" s="37"/>
      <c r="E95" s="37"/>
      <c r="F95" s="37"/>
      <c r="G95" s="37"/>
      <c r="H95" s="37"/>
      <c r="I95" s="37"/>
      <c r="J95" s="37"/>
      <c r="K95" s="37"/>
      <c r="L95" s="37"/>
    </row>
    <row r="96" spans="4:12" ht="15.75" customHeight="1">
      <c r="D96" s="37"/>
      <c r="E96" s="37"/>
      <c r="F96" s="37"/>
      <c r="G96" s="37"/>
      <c r="H96" s="37"/>
      <c r="I96" s="37"/>
      <c r="J96" s="37"/>
      <c r="K96" s="37"/>
      <c r="L96" s="37"/>
    </row>
    <row r="97" spans="4:12" ht="15.75" customHeight="1">
      <c r="D97" s="37"/>
      <c r="E97" s="37"/>
      <c r="F97" s="37"/>
      <c r="G97" s="37"/>
      <c r="H97" s="37"/>
      <c r="I97" s="37"/>
      <c r="J97" s="37"/>
      <c r="K97" s="37"/>
      <c r="L97" s="37"/>
    </row>
    <row r="98" spans="4:12" ht="15.75" customHeight="1">
      <c r="D98" s="37"/>
      <c r="E98" s="37"/>
      <c r="F98" s="37"/>
      <c r="G98" s="37"/>
      <c r="H98" s="37"/>
      <c r="I98" s="37"/>
      <c r="J98" s="37"/>
      <c r="K98" s="37"/>
      <c r="L98" s="37"/>
    </row>
    <row r="99" spans="4:12" ht="15.75" customHeight="1">
      <c r="D99" s="37"/>
      <c r="E99" s="37"/>
      <c r="F99" s="37"/>
      <c r="G99" s="37"/>
      <c r="H99" s="37"/>
      <c r="I99" s="37"/>
      <c r="J99" s="37"/>
      <c r="K99" s="37"/>
      <c r="L99" s="37"/>
    </row>
    <row r="100" spans="4:12" ht="15.75" customHeight="1">
      <c r="D100" s="37"/>
      <c r="E100" s="37"/>
      <c r="F100" s="37"/>
      <c r="G100" s="37"/>
      <c r="H100" s="37"/>
      <c r="I100" s="37"/>
      <c r="J100" s="37"/>
      <c r="K100" s="37"/>
      <c r="L100" s="37"/>
    </row>
    <row r="101" spans="4:12" ht="15.75" customHeight="1">
      <c r="D101" s="37"/>
      <c r="E101" s="37"/>
      <c r="F101" s="37"/>
      <c r="G101" s="37"/>
      <c r="H101" s="37"/>
      <c r="I101" s="37"/>
      <c r="J101" s="37"/>
      <c r="K101" s="37"/>
      <c r="L101" s="37"/>
    </row>
    <row r="102" spans="4:12" ht="15.75" customHeight="1">
      <c r="D102" s="37"/>
      <c r="E102" s="37"/>
      <c r="F102" s="37"/>
      <c r="G102" s="37"/>
      <c r="H102" s="37"/>
      <c r="I102" s="37"/>
      <c r="J102" s="37"/>
      <c r="K102" s="37"/>
      <c r="L102" s="37"/>
    </row>
    <row r="103" spans="4:12" ht="15.75" customHeight="1">
      <c r="D103" s="37"/>
      <c r="E103" s="37"/>
      <c r="F103" s="37"/>
      <c r="G103" s="37"/>
      <c r="H103" s="37"/>
      <c r="I103" s="37"/>
      <c r="J103" s="37"/>
      <c r="K103" s="37"/>
      <c r="L103" s="37"/>
    </row>
    <row r="104" spans="4:12" ht="15.75" customHeight="1">
      <c r="D104" s="37"/>
      <c r="E104" s="37"/>
      <c r="F104" s="37"/>
      <c r="G104" s="37"/>
      <c r="H104" s="37"/>
      <c r="I104" s="37"/>
      <c r="J104" s="37"/>
      <c r="K104" s="37"/>
      <c r="L104" s="37"/>
    </row>
    <row r="105" spans="4:12" ht="15.75" customHeight="1">
      <c r="D105" s="37"/>
      <c r="E105" s="37"/>
      <c r="F105" s="37"/>
      <c r="G105" s="37"/>
      <c r="H105" s="37"/>
      <c r="I105" s="37"/>
      <c r="J105" s="37"/>
      <c r="K105" s="37"/>
      <c r="L105" s="37"/>
    </row>
    <row r="106" spans="4:12" ht="15.75" customHeight="1">
      <c r="D106" s="37"/>
      <c r="E106" s="37"/>
      <c r="F106" s="37"/>
      <c r="G106" s="37"/>
      <c r="H106" s="37"/>
      <c r="I106" s="37"/>
      <c r="J106" s="37"/>
      <c r="K106" s="37"/>
      <c r="L106" s="37"/>
    </row>
    <row r="107" spans="4:12" ht="15.75" customHeight="1">
      <c r="D107" s="37"/>
      <c r="E107" s="37"/>
      <c r="F107" s="37"/>
      <c r="G107" s="37"/>
      <c r="H107" s="37"/>
      <c r="I107" s="37"/>
      <c r="J107" s="37"/>
      <c r="K107" s="37"/>
      <c r="L107" s="37"/>
    </row>
    <row r="108" spans="4:12" ht="15.75" customHeight="1">
      <c r="D108" s="37"/>
      <c r="E108" s="37"/>
      <c r="F108" s="37"/>
      <c r="G108" s="37"/>
      <c r="H108" s="37"/>
      <c r="I108" s="37"/>
      <c r="J108" s="37"/>
      <c r="K108" s="37"/>
      <c r="L108" s="37"/>
    </row>
    <row r="109" spans="4:12" ht="15.75" customHeight="1">
      <c r="D109" s="37"/>
      <c r="E109" s="37"/>
      <c r="F109" s="37"/>
      <c r="G109" s="37"/>
      <c r="H109" s="37"/>
      <c r="I109" s="37"/>
      <c r="J109" s="37"/>
      <c r="K109" s="37"/>
      <c r="L109" s="37"/>
    </row>
    <row r="110" spans="4:12" ht="15.75" customHeight="1">
      <c r="D110" s="37"/>
      <c r="E110" s="37"/>
      <c r="F110" s="37"/>
      <c r="G110" s="37"/>
      <c r="H110" s="37"/>
      <c r="I110" s="37"/>
      <c r="J110" s="37"/>
      <c r="K110" s="37"/>
      <c r="L110" s="37"/>
    </row>
    <row r="111" spans="4:12" ht="15.75" customHeight="1">
      <c r="D111" s="37"/>
      <c r="E111" s="37"/>
      <c r="F111" s="37"/>
      <c r="G111" s="37"/>
      <c r="H111" s="37"/>
      <c r="I111" s="37"/>
      <c r="J111" s="37"/>
      <c r="K111" s="37"/>
      <c r="L111" s="37"/>
    </row>
    <row r="112" spans="4:12" ht="15.75" customHeight="1">
      <c r="D112" s="37"/>
      <c r="E112" s="37"/>
      <c r="F112" s="37"/>
      <c r="G112" s="37"/>
      <c r="H112" s="37"/>
      <c r="I112" s="37"/>
      <c r="J112" s="37"/>
      <c r="K112" s="37"/>
      <c r="L112" s="37"/>
    </row>
    <row r="113" spans="4:12" ht="15.75" customHeight="1">
      <c r="D113" s="37"/>
      <c r="E113" s="37"/>
      <c r="F113" s="37"/>
      <c r="G113" s="37"/>
      <c r="H113" s="37"/>
      <c r="I113" s="37"/>
      <c r="J113" s="37"/>
      <c r="K113" s="37"/>
      <c r="L113" s="37"/>
    </row>
    <row r="114" spans="4:12" ht="15.75" customHeight="1">
      <c r="D114" s="37"/>
      <c r="E114" s="37"/>
      <c r="F114" s="37"/>
      <c r="G114" s="37"/>
      <c r="H114" s="37"/>
      <c r="I114" s="37"/>
      <c r="J114" s="37"/>
      <c r="K114" s="37"/>
      <c r="L114" s="37"/>
    </row>
    <row r="115" spans="4:12" ht="15.75" customHeight="1">
      <c r="D115" s="37"/>
      <c r="E115" s="37"/>
      <c r="F115" s="37"/>
      <c r="G115" s="37"/>
      <c r="H115" s="37"/>
      <c r="I115" s="37"/>
      <c r="J115" s="37"/>
      <c r="K115" s="37"/>
      <c r="L115" s="37"/>
    </row>
    <row r="116" spans="4:12" ht="15.75" customHeight="1">
      <c r="D116" s="37"/>
      <c r="E116" s="37"/>
      <c r="F116" s="37"/>
      <c r="G116" s="37"/>
      <c r="H116" s="37"/>
      <c r="I116" s="37"/>
      <c r="J116" s="37"/>
      <c r="K116" s="37"/>
      <c r="L116" s="37"/>
    </row>
    <row r="117" spans="4:12" ht="15.75" customHeight="1">
      <c r="D117" s="37"/>
      <c r="E117" s="37"/>
      <c r="F117" s="37"/>
      <c r="G117" s="37"/>
      <c r="H117" s="37"/>
      <c r="I117" s="37"/>
      <c r="J117" s="37"/>
      <c r="K117" s="37"/>
      <c r="L117" s="37"/>
    </row>
    <row r="118" spans="4:12" ht="15.75" customHeight="1">
      <c r="D118" s="37"/>
      <c r="E118" s="37"/>
      <c r="F118" s="37"/>
      <c r="G118" s="37"/>
      <c r="H118" s="37"/>
      <c r="I118" s="37"/>
      <c r="J118" s="37"/>
      <c r="K118" s="37"/>
      <c r="L118" s="37"/>
    </row>
    <row r="119" spans="4:12" ht="15.75" customHeight="1">
      <c r="D119" s="37"/>
      <c r="E119" s="37"/>
      <c r="F119" s="37"/>
      <c r="G119" s="37"/>
      <c r="H119" s="37"/>
      <c r="I119" s="37"/>
      <c r="J119" s="37"/>
      <c r="K119" s="37"/>
      <c r="L119" s="37"/>
    </row>
    <row r="120" spans="4:12" ht="15.75" customHeight="1">
      <c r="D120" s="37"/>
      <c r="E120" s="37"/>
      <c r="F120" s="37"/>
      <c r="G120" s="37"/>
      <c r="H120" s="37"/>
      <c r="I120" s="37"/>
      <c r="J120" s="37"/>
      <c r="K120" s="37"/>
      <c r="L120" s="37"/>
    </row>
    <row r="121" spans="4:12" ht="15.75" customHeight="1">
      <c r="D121" s="37"/>
      <c r="E121" s="37"/>
      <c r="F121" s="37"/>
      <c r="G121" s="37"/>
      <c r="H121" s="37"/>
      <c r="I121" s="37"/>
      <c r="J121" s="37"/>
      <c r="K121" s="37"/>
      <c r="L121" s="37"/>
    </row>
    <row r="122" spans="4:12" ht="15.75" customHeight="1">
      <c r="D122" s="37"/>
      <c r="E122" s="37"/>
      <c r="F122" s="37"/>
      <c r="G122" s="37"/>
      <c r="H122" s="37"/>
      <c r="I122" s="37"/>
      <c r="J122" s="37"/>
      <c r="K122" s="37"/>
      <c r="L122" s="37"/>
    </row>
    <row r="123" spans="4:12" ht="15.75" customHeight="1">
      <c r="D123" s="37"/>
      <c r="E123" s="37"/>
      <c r="F123" s="37"/>
      <c r="G123" s="37"/>
      <c r="H123" s="37"/>
      <c r="I123" s="37"/>
      <c r="J123" s="37"/>
      <c r="K123" s="37"/>
      <c r="L123" s="37"/>
    </row>
    <row r="124" spans="4:12" ht="15.75" customHeight="1">
      <c r="D124" s="37"/>
      <c r="E124" s="37"/>
      <c r="F124" s="37"/>
      <c r="G124" s="37"/>
      <c r="H124" s="37"/>
      <c r="I124" s="37"/>
      <c r="J124" s="37"/>
      <c r="K124" s="37"/>
      <c r="L124" s="37"/>
    </row>
    <row r="125" spans="4:12" ht="15.75" customHeight="1">
      <c r="D125" s="37"/>
      <c r="E125" s="37"/>
      <c r="F125" s="37"/>
      <c r="G125" s="37"/>
      <c r="H125" s="37"/>
      <c r="I125" s="37"/>
      <c r="J125" s="37"/>
      <c r="K125" s="37"/>
      <c r="L125" s="37"/>
    </row>
    <row r="126" spans="4:12" ht="15.75" customHeight="1">
      <c r="D126" s="37"/>
      <c r="E126" s="37"/>
      <c r="F126" s="37"/>
      <c r="G126" s="37"/>
      <c r="H126" s="37"/>
      <c r="I126" s="37"/>
      <c r="J126" s="37"/>
      <c r="K126" s="37"/>
      <c r="L126" s="37"/>
    </row>
    <row r="127" spans="4:12" ht="15.75" customHeight="1">
      <c r="D127" s="37"/>
      <c r="E127" s="37"/>
      <c r="F127" s="37"/>
      <c r="G127" s="37"/>
      <c r="H127" s="37"/>
      <c r="I127" s="37"/>
      <c r="J127" s="37"/>
      <c r="K127" s="37"/>
      <c r="L127" s="37"/>
    </row>
    <row r="128" spans="4:12" ht="15.75" customHeight="1">
      <c r="D128" s="37"/>
      <c r="E128" s="37"/>
      <c r="F128" s="37"/>
      <c r="G128" s="37"/>
      <c r="H128" s="37"/>
      <c r="I128" s="37"/>
      <c r="J128" s="37"/>
      <c r="K128" s="37"/>
      <c r="L128" s="37"/>
    </row>
    <row r="129" spans="4:12" ht="15.75" customHeight="1">
      <c r="D129" s="37"/>
      <c r="E129" s="37"/>
      <c r="F129" s="37"/>
      <c r="G129" s="37"/>
      <c r="H129" s="37"/>
      <c r="I129" s="37"/>
      <c r="J129" s="37"/>
      <c r="K129" s="37"/>
      <c r="L129" s="37"/>
    </row>
    <row r="130" spans="4:12" ht="15.75" customHeight="1">
      <c r="D130" s="37"/>
      <c r="E130" s="37"/>
      <c r="F130" s="37"/>
      <c r="G130" s="37"/>
      <c r="H130" s="37"/>
      <c r="I130" s="37"/>
      <c r="J130" s="37"/>
      <c r="K130" s="37"/>
      <c r="L130" s="37"/>
    </row>
    <row r="131" spans="4:12" ht="15.75" customHeight="1">
      <c r="D131" s="37"/>
      <c r="E131" s="37"/>
      <c r="F131" s="37"/>
      <c r="G131" s="37"/>
      <c r="H131" s="37"/>
      <c r="I131" s="37"/>
      <c r="J131" s="37"/>
      <c r="K131" s="37"/>
      <c r="L131" s="37"/>
    </row>
    <row r="132" spans="4:12" ht="15.75" customHeight="1">
      <c r="D132" s="37"/>
      <c r="E132" s="37"/>
      <c r="F132" s="37"/>
      <c r="G132" s="37"/>
      <c r="H132" s="37"/>
      <c r="I132" s="37"/>
      <c r="J132" s="37"/>
      <c r="K132" s="37"/>
      <c r="L132" s="37"/>
    </row>
    <row r="133" spans="4:12" ht="15.75" customHeight="1">
      <c r="D133" s="37"/>
      <c r="E133" s="37"/>
      <c r="F133" s="37"/>
      <c r="G133" s="37"/>
      <c r="H133" s="37"/>
      <c r="I133" s="37"/>
      <c r="J133" s="37"/>
      <c r="K133" s="37"/>
      <c r="L133" s="37"/>
    </row>
    <row r="134" spans="4:12" ht="15.75" customHeight="1">
      <c r="D134" s="37"/>
      <c r="E134" s="37"/>
      <c r="F134" s="37"/>
      <c r="G134" s="37"/>
      <c r="H134" s="37"/>
      <c r="I134" s="37"/>
      <c r="J134" s="37"/>
      <c r="K134" s="37"/>
      <c r="L134" s="37"/>
    </row>
    <row r="135" spans="4:12" ht="15.75" customHeight="1">
      <c r="D135" s="37"/>
      <c r="E135" s="37"/>
      <c r="F135" s="37"/>
      <c r="G135" s="37"/>
      <c r="H135" s="37"/>
      <c r="I135" s="37"/>
      <c r="J135" s="37"/>
      <c r="K135" s="37"/>
      <c r="L135" s="37"/>
    </row>
    <row r="136" spans="4:12" ht="15.75" customHeight="1">
      <c r="D136" s="37"/>
      <c r="E136" s="37"/>
      <c r="F136" s="37"/>
      <c r="G136" s="37"/>
      <c r="H136" s="37"/>
      <c r="I136" s="37"/>
      <c r="J136" s="37"/>
      <c r="K136" s="37"/>
      <c r="L136" s="37"/>
    </row>
    <row r="137" spans="4:12" ht="15.75" customHeight="1">
      <c r="D137" s="37"/>
      <c r="E137" s="37"/>
      <c r="F137" s="37"/>
      <c r="G137" s="37"/>
      <c r="H137" s="37"/>
      <c r="I137" s="37"/>
      <c r="J137" s="37"/>
      <c r="K137" s="37"/>
      <c r="L137" s="37"/>
    </row>
    <row r="138" spans="4:12" ht="15.75" customHeight="1">
      <c r="D138" s="37"/>
      <c r="E138" s="37"/>
      <c r="F138" s="37"/>
      <c r="G138" s="37"/>
      <c r="H138" s="37"/>
      <c r="I138" s="37"/>
      <c r="J138" s="37"/>
      <c r="K138" s="37"/>
      <c r="L138" s="37"/>
    </row>
    <row r="139" spans="4:12" ht="15.75" customHeight="1">
      <c r="D139" s="37"/>
      <c r="E139" s="37"/>
      <c r="F139" s="37"/>
      <c r="G139" s="37"/>
      <c r="H139" s="37"/>
      <c r="I139" s="37"/>
      <c r="J139" s="37"/>
      <c r="K139" s="37"/>
      <c r="L139" s="37"/>
    </row>
    <row r="140" spans="4:12" ht="15.75" customHeight="1">
      <c r="D140" s="37"/>
      <c r="E140" s="37"/>
      <c r="F140" s="37"/>
      <c r="G140" s="37"/>
      <c r="H140" s="37"/>
      <c r="I140" s="37"/>
      <c r="J140" s="37"/>
      <c r="K140" s="37"/>
      <c r="L140" s="37"/>
    </row>
    <row r="141" spans="4:12" ht="15.75" customHeight="1">
      <c r="D141" s="37"/>
      <c r="E141" s="37"/>
      <c r="F141" s="37"/>
      <c r="G141" s="37"/>
      <c r="H141" s="37"/>
      <c r="I141" s="37"/>
      <c r="J141" s="37"/>
      <c r="K141" s="37"/>
      <c r="L141" s="37"/>
    </row>
    <row r="142" spans="4:12" ht="15.75" customHeight="1">
      <c r="D142" s="37"/>
      <c r="E142" s="37"/>
      <c r="F142" s="37"/>
      <c r="G142" s="37"/>
      <c r="H142" s="37"/>
      <c r="I142" s="37"/>
      <c r="J142" s="37"/>
      <c r="K142" s="37"/>
      <c r="L142" s="37"/>
    </row>
    <row r="143" spans="4:12" ht="15.75" customHeight="1">
      <c r="D143" s="37"/>
      <c r="E143" s="37"/>
      <c r="F143" s="37"/>
      <c r="G143" s="37"/>
      <c r="H143" s="37"/>
      <c r="I143" s="37"/>
      <c r="J143" s="37"/>
      <c r="K143" s="37"/>
      <c r="L143" s="37"/>
    </row>
    <row r="144" spans="4:12" ht="15.75" customHeight="1">
      <c r="D144" s="37"/>
      <c r="E144" s="37"/>
      <c r="F144" s="37"/>
      <c r="G144" s="37"/>
      <c r="H144" s="37"/>
      <c r="I144" s="37"/>
      <c r="J144" s="37"/>
      <c r="K144" s="37"/>
      <c r="L144" s="37"/>
    </row>
    <row r="145" spans="4:12" ht="15.75" customHeight="1">
      <c r="D145" s="37"/>
      <c r="E145" s="37"/>
      <c r="F145" s="37"/>
      <c r="G145" s="37"/>
      <c r="H145" s="37"/>
      <c r="I145" s="37"/>
      <c r="J145" s="37"/>
      <c r="K145" s="37"/>
      <c r="L145" s="37"/>
    </row>
    <row r="146" spans="4:12" ht="15.75" customHeight="1">
      <c r="D146" s="37"/>
      <c r="E146" s="37"/>
      <c r="F146" s="37"/>
      <c r="G146" s="37"/>
      <c r="H146" s="37"/>
      <c r="I146" s="37"/>
      <c r="J146" s="37"/>
      <c r="K146" s="37"/>
      <c r="L146" s="37"/>
    </row>
    <row r="147" spans="4:12" ht="15.75" customHeight="1">
      <c r="D147" s="37"/>
      <c r="E147" s="37"/>
      <c r="F147" s="37"/>
      <c r="G147" s="37"/>
      <c r="H147" s="37"/>
      <c r="I147" s="37"/>
      <c r="J147" s="37"/>
      <c r="K147" s="37"/>
      <c r="L147" s="37"/>
    </row>
    <row r="148" spans="4:12" ht="15.75" customHeight="1">
      <c r="D148" s="37"/>
      <c r="E148" s="37"/>
      <c r="F148" s="37"/>
      <c r="G148" s="37"/>
      <c r="H148" s="37"/>
      <c r="I148" s="37"/>
      <c r="J148" s="37"/>
      <c r="K148" s="37"/>
      <c r="L148" s="37"/>
    </row>
    <row r="149" spans="4:12" ht="15.75" customHeight="1">
      <c r="D149" s="37"/>
      <c r="E149" s="37"/>
      <c r="F149" s="37"/>
      <c r="G149" s="37"/>
      <c r="H149" s="37"/>
      <c r="I149" s="37"/>
      <c r="J149" s="37"/>
      <c r="K149" s="37"/>
      <c r="L149" s="37"/>
    </row>
    <row r="150" spans="4:12" ht="15.75" customHeight="1">
      <c r="D150" s="37"/>
      <c r="E150" s="37"/>
      <c r="F150" s="37"/>
      <c r="G150" s="37"/>
      <c r="H150" s="37"/>
      <c r="I150" s="37"/>
      <c r="J150" s="37"/>
      <c r="K150" s="37"/>
      <c r="L150" s="37"/>
    </row>
    <row r="151" spans="4:12" ht="15.75" customHeight="1">
      <c r="D151" s="37"/>
      <c r="E151" s="37"/>
      <c r="F151" s="37"/>
      <c r="G151" s="37"/>
      <c r="H151" s="37"/>
      <c r="I151" s="37"/>
      <c r="J151" s="37"/>
      <c r="K151" s="37"/>
      <c r="L151" s="37"/>
    </row>
    <row r="152" spans="4:12" ht="15.75" customHeight="1">
      <c r="D152" s="37"/>
      <c r="E152" s="37"/>
      <c r="F152" s="37"/>
      <c r="G152" s="37"/>
      <c r="H152" s="37"/>
      <c r="I152" s="37"/>
      <c r="J152" s="37"/>
      <c r="K152" s="37"/>
      <c r="L152" s="37"/>
    </row>
    <row r="153" spans="4:12" ht="15.75" customHeight="1">
      <c r="D153" s="37"/>
      <c r="E153" s="37"/>
      <c r="F153" s="37"/>
      <c r="G153" s="37"/>
      <c r="H153" s="37"/>
      <c r="I153" s="37"/>
      <c r="J153" s="37"/>
      <c r="K153" s="37"/>
      <c r="L153" s="37"/>
    </row>
    <row r="154" spans="4:12" ht="15.75" customHeight="1">
      <c r="D154" s="37"/>
      <c r="E154" s="37"/>
      <c r="F154" s="37"/>
      <c r="G154" s="37"/>
      <c r="H154" s="37"/>
      <c r="I154" s="37"/>
      <c r="J154" s="37"/>
      <c r="K154" s="37"/>
      <c r="L154" s="37"/>
    </row>
    <row r="155" spans="4:12" ht="15.75" customHeight="1">
      <c r="D155" s="37"/>
      <c r="E155" s="37"/>
      <c r="F155" s="37"/>
      <c r="G155" s="37"/>
      <c r="H155" s="37"/>
      <c r="I155" s="37"/>
      <c r="J155" s="37"/>
      <c r="K155" s="37"/>
      <c r="L155" s="37"/>
    </row>
    <row r="156" spans="4:12" ht="15.75" customHeight="1">
      <c r="D156" s="37"/>
      <c r="E156" s="37"/>
      <c r="F156" s="37"/>
      <c r="G156" s="37"/>
      <c r="H156" s="37"/>
      <c r="I156" s="37"/>
      <c r="J156" s="37"/>
      <c r="K156" s="37"/>
      <c r="L156" s="37"/>
    </row>
    <row r="157" spans="4:12" ht="15.75" customHeight="1">
      <c r="D157" s="37"/>
      <c r="E157" s="37"/>
      <c r="F157" s="37"/>
      <c r="G157" s="37"/>
      <c r="H157" s="37"/>
      <c r="I157" s="37"/>
      <c r="J157" s="37"/>
      <c r="K157" s="37"/>
      <c r="L157" s="37"/>
    </row>
    <row r="158" spans="4:12" ht="15.75" customHeight="1">
      <c r="D158" s="37"/>
      <c r="E158" s="37"/>
      <c r="F158" s="37"/>
      <c r="G158" s="37"/>
      <c r="H158" s="37"/>
      <c r="I158" s="37"/>
      <c r="J158" s="37"/>
      <c r="K158" s="37"/>
      <c r="L158" s="37"/>
    </row>
    <row r="159" spans="4:12" ht="15.75" customHeight="1">
      <c r="D159" s="37"/>
      <c r="E159" s="37"/>
      <c r="F159" s="37"/>
      <c r="G159" s="37"/>
      <c r="H159" s="37"/>
      <c r="I159" s="37"/>
      <c r="J159" s="37"/>
      <c r="K159" s="37"/>
      <c r="L159" s="37"/>
    </row>
    <row r="160" spans="4:12" ht="15.75" customHeight="1">
      <c r="D160" s="37"/>
      <c r="E160" s="37"/>
      <c r="F160" s="37"/>
      <c r="G160" s="37"/>
      <c r="H160" s="37"/>
      <c r="I160" s="37"/>
      <c r="J160" s="37"/>
      <c r="K160" s="37"/>
      <c r="L160" s="37"/>
    </row>
    <row r="161" spans="4:12" ht="15.75" customHeight="1">
      <c r="D161" s="37"/>
      <c r="E161" s="37"/>
      <c r="F161" s="37"/>
      <c r="G161" s="37"/>
      <c r="H161" s="37"/>
      <c r="I161" s="37"/>
      <c r="J161" s="37"/>
      <c r="K161" s="37"/>
      <c r="L161" s="37"/>
    </row>
    <row r="162" spans="4:12" ht="15.75" customHeight="1">
      <c r="D162" s="37"/>
      <c r="E162" s="37"/>
      <c r="F162" s="37"/>
      <c r="G162" s="37"/>
      <c r="H162" s="37"/>
      <c r="I162" s="37"/>
      <c r="J162" s="37"/>
      <c r="K162" s="37"/>
      <c r="L162" s="37"/>
    </row>
    <row r="163" spans="4:12" ht="15.75" customHeight="1">
      <c r="D163" s="37"/>
      <c r="E163" s="37"/>
      <c r="F163" s="37"/>
      <c r="G163" s="37"/>
      <c r="H163" s="37"/>
      <c r="I163" s="37"/>
      <c r="J163" s="37"/>
      <c r="K163" s="37"/>
      <c r="L163" s="37"/>
    </row>
    <row r="164" spans="4:12" ht="15.75" customHeight="1">
      <c r="D164" s="37"/>
      <c r="E164" s="37"/>
      <c r="F164" s="37"/>
      <c r="G164" s="37"/>
      <c r="H164" s="37"/>
      <c r="I164" s="37"/>
      <c r="J164" s="37"/>
      <c r="K164" s="37"/>
      <c r="L164" s="37"/>
    </row>
    <row r="165" spans="4:12" ht="15.75" customHeight="1">
      <c r="D165" s="37"/>
      <c r="E165" s="37"/>
      <c r="F165" s="37"/>
      <c r="G165" s="37"/>
      <c r="H165" s="37"/>
      <c r="I165" s="37"/>
      <c r="J165" s="37"/>
      <c r="K165" s="37"/>
      <c r="L165" s="37"/>
    </row>
    <row r="166" spans="4:12" ht="15.75" customHeight="1">
      <c r="D166" s="37"/>
      <c r="E166" s="37"/>
      <c r="F166" s="37"/>
      <c r="G166" s="37"/>
      <c r="H166" s="37"/>
      <c r="I166" s="37"/>
      <c r="J166" s="37"/>
      <c r="K166" s="37"/>
      <c r="L166" s="37"/>
    </row>
    <row r="167" spans="4:12" ht="15.75" customHeight="1">
      <c r="D167" s="37"/>
      <c r="E167" s="37"/>
      <c r="F167" s="37"/>
      <c r="G167" s="37"/>
      <c r="H167" s="37"/>
      <c r="I167" s="37"/>
      <c r="J167" s="37"/>
      <c r="K167" s="37"/>
      <c r="L167" s="37"/>
    </row>
    <row r="168" spans="4:12" ht="15.75" customHeight="1">
      <c r="D168" s="37"/>
      <c r="E168" s="37"/>
      <c r="F168" s="37"/>
      <c r="G168" s="37"/>
      <c r="H168" s="37"/>
      <c r="I168" s="37"/>
      <c r="J168" s="37"/>
      <c r="K168" s="37"/>
      <c r="L168" s="37"/>
    </row>
    <row r="169" spans="4:12" ht="15.75" customHeight="1">
      <c r="D169" s="37"/>
      <c r="E169" s="37"/>
      <c r="F169" s="37"/>
      <c r="G169" s="37"/>
      <c r="H169" s="37"/>
      <c r="I169" s="37"/>
      <c r="J169" s="37"/>
      <c r="K169" s="37"/>
      <c r="L169" s="37"/>
    </row>
    <row r="170" spans="4:12" ht="15.75" customHeight="1">
      <c r="D170" s="37"/>
      <c r="E170" s="37"/>
      <c r="F170" s="37"/>
      <c r="G170" s="37"/>
      <c r="H170" s="37"/>
      <c r="I170" s="37"/>
      <c r="J170" s="37"/>
      <c r="K170" s="37"/>
      <c r="L170" s="37"/>
    </row>
    <row r="171" spans="4:12" ht="15.75" customHeight="1">
      <c r="D171" s="37"/>
      <c r="E171" s="37"/>
      <c r="F171" s="37"/>
      <c r="G171" s="37"/>
      <c r="H171" s="37"/>
      <c r="I171" s="37"/>
      <c r="J171" s="37"/>
      <c r="K171" s="37"/>
      <c r="L171" s="37"/>
    </row>
    <row r="172" spans="4:12" ht="15.75" customHeight="1">
      <c r="D172" s="37"/>
      <c r="E172" s="37"/>
      <c r="F172" s="37"/>
      <c r="G172" s="37"/>
      <c r="H172" s="37"/>
      <c r="I172" s="37"/>
      <c r="J172" s="37"/>
      <c r="K172" s="37"/>
      <c r="L172" s="37"/>
    </row>
    <row r="173" spans="4:12" ht="15.75" customHeight="1">
      <c r="D173" s="37"/>
      <c r="E173" s="37"/>
      <c r="F173" s="37"/>
      <c r="G173" s="37"/>
      <c r="H173" s="37"/>
      <c r="I173" s="37"/>
      <c r="J173" s="37"/>
      <c r="K173" s="37"/>
      <c r="L173" s="37"/>
    </row>
    <row r="174" spans="4:12" ht="15.75" customHeight="1">
      <c r="D174" s="37"/>
      <c r="E174" s="37"/>
      <c r="F174" s="37"/>
      <c r="G174" s="37"/>
      <c r="H174" s="37"/>
      <c r="I174" s="37"/>
      <c r="J174" s="37"/>
      <c r="K174" s="37"/>
      <c r="L174" s="37"/>
    </row>
    <row r="175" spans="4:12" ht="15.75" customHeight="1">
      <c r="D175" s="37"/>
      <c r="E175" s="37"/>
      <c r="F175" s="37"/>
      <c r="G175" s="37"/>
      <c r="H175" s="37"/>
      <c r="I175" s="37"/>
      <c r="J175" s="37"/>
      <c r="K175" s="37"/>
      <c r="L175" s="37"/>
    </row>
    <row r="176" spans="4:12" ht="15.75" customHeight="1">
      <c r="D176" s="37"/>
      <c r="E176" s="37"/>
      <c r="F176" s="37"/>
      <c r="G176" s="37"/>
      <c r="H176" s="37"/>
      <c r="I176" s="37"/>
      <c r="J176" s="37"/>
      <c r="K176" s="37"/>
      <c r="L176" s="37"/>
    </row>
    <row r="177" spans="4:12" ht="15.75" customHeight="1">
      <c r="D177" s="37"/>
      <c r="E177" s="37"/>
      <c r="F177" s="37"/>
      <c r="G177" s="37"/>
      <c r="H177" s="37"/>
      <c r="I177" s="37"/>
      <c r="J177" s="37"/>
      <c r="K177" s="37"/>
      <c r="L177" s="37"/>
    </row>
    <row r="178" spans="4:12" ht="15.75" customHeight="1">
      <c r="D178" s="37"/>
      <c r="E178" s="37"/>
      <c r="F178" s="37"/>
      <c r="G178" s="37"/>
      <c r="H178" s="37"/>
      <c r="I178" s="37"/>
      <c r="J178" s="37"/>
      <c r="K178" s="37"/>
      <c r="L178" s="37"/>
    </row>
    <row r="179" spans="4:12" ht="15.75" customHeight="1">
      <c r="D179" s="37"/>
      <c r="E179" s="37"/>
      <c r="F179" s="37"/>
      <c r="G179" s="37"/>
      <c r="H179" s="37"/>
      <c r="I179" s="37"/>
      <c r="J179" s="37"/>
      <c r="K179" s="37"/>
      <c r="L179" s="37"/>
    </row>
    <row r="180" spans="4:12" ht="15.75" customHeight="1">
      <c r="D180" s="37"/>
      <c r="E180" s="37"/>
      <c r="F180" s="37"/>
      <c r="G180" s="37"/>
      <c r="H180" s="37"/>
      <c r="I180" s="37"/>
      <c r="J180" s="37"/>
      <c r="K180" s="37"/>
      <c r="L180" s="37"/>
    </row>
    <row r="181" spans="4:12" ht="15.75" customHeight="1">
      <c r="D181" s="37"/>
      <c r="E181" s="37"/>
      <c r="F181" s="37"/>
      <c r="G181" s="37"/>
      <c r="H181" s="37"/>
      <c r="I181" s="37"/>
      <c r="J181" s="37"/>
      <c r="K181" s="37"/>
      <c r="L181" s="37"/>
    </row>
    <row r="182" spans="4:12" ht="15.75" customHeight="1">
      <c r="D182" s="37"/>
      <c r="E182" s="37"/>
      <c r="F182" s="37"/>
      <c r="G182" s="37"/>
      <c r="H182" s="37"/>
      <c r="I182" s="37"/>
      <c r="J182" s="37"/>
      <c r="K182" s="37"/>
      <c r="L182" s="37"/>
    </row>
    <row r="183" spans="4:12" ht="15.75" customHeight="1">
      <c r="D183" s="37"/>
      <c r="E183" s="37"/>
      <c r="F183" s="37"/>
      <c r="G183" s="37"/>
      <c r="H183" s="37"/>
      <c r="I183" s="37"/>
      <c r="J183" s="37"/>
      <c r="K183" s="37"/>
      <c r="L183" s="37"/>
    </row>
    <row r="184" spans="4:12" ht="15.75" customHeight="1">
      <c r="D184" s="37"/>
      <c r="E184" s="37"/>
      <c r="F184" s="37"/>
      <c r="G184" s="37"/>
      <c r="H184" s="37"/>
      <c r="I184" s="37"/>
      <c r="J184" s="37"/>
      <c r="K184" s="37"/>
      <c r="L184" s="37"/>
    </row>
    <row r="185" spans="4:12" ht="15.75" customHeight="1">
      <c r="D185" s="37"/>
      <c r="E185" s="37"/>
      <c r="F185" s="37"/>
      <c r="G185" s="37"/>
      <c r="H185" s="37"/>
      <c r="I185" s="37"/>
      <c r="J185" s="37"/>
      <c r="K185" s="37"/>
      <c r="L185" s="37"/>
    </row>
    <row r="186" spans="4:12" ht="15.75" customHeight="1">
      <c r="D186" s="37"/>
      <c r="E186" s="37"/>
      <c r="F186" s="37"/>
      <c r="G186" s="37"/>
      <c r="H186" s="37"/>
      <c r="I186" s="37"/>
      <c r="J186" s="37"/>
      <c r="K186" s="37"/>
      <c r="L186" s="37"/>
    </row>
    <row r="187" spans="4:12" ht="15.75" customHeight="1">
      <c r="D187" s="37"/>
      <c r="E187" s="37"/>
      <c r="F187" s="37"/>
      <c r="G187" s="37"/>
      <c r="H187" s="37"/>
      <c r="I187" s="37"/>
      <c r="J187" s="37"/>
      <c r="K187" s="37"/>
      <c r="L187" s="37"/>
    </row>
    <row r="188" spans="4:12" ht="15.75" customHeight="1">
      <c r="D188" s="37"/>
      <c r="E188" s="37"/>
      <c r="F188" s="37"/>
      <c r="G188" s="37"/>
      <c r="H188" s="37"/>
      <c r="I188" s="37"/>
      <c r="J188" s="37"/>
      <c r="K188" s="37"/>
      <c r="L188" s="37"/>
    </row>
    <row r="189" spans="4:12" ht="15.75" customHeight="1">
      <c r="D189" s="37"/>
      <c r="E189" s="37"/>
      <c r="F189" s="37"/>
      <c r="G189" s="37"/>
      <c r="H189" s="37"/>
      <c r="I189" s="37"/>
      <c r="J189" s="37"/>
      <c r="K189" s="37"/>
      <c r="L189" s="37"/>
    </row>
    <row r="190" spans="4:12" ht="15.75" customHeight="1">
      <c r="D190" s="37"/>
      <c r="E190" s="37"/>
      <c r="F190" s="37"/>
      <c r="G190" s="37"/>
      <c r="H190" s="37"/>
      <c r="I190" s="37"/>
      <c r="J190" s="37"/>
      <c r="K190" s="37"/>
      <c r="L190" s="37"/>
    </row>
    <row r="191" spans="4:12" ht="15.75" customHeight="1">
      <c r="D191" s="37"/>
      <c r="E191" s="37"/>
      <c r="F191" s="37"/>
      <c r="G191" s="37"/>
      <c r="H191" s="37"/>
      <c r="I191" s="37"/>
      <c r="J191" s="37"/>
      <c r="K191" s="37"/>
      <c r="L191" s="37"/>
    </row>
    <row r="192" spans="4:12" ht="15.75" customHeight="1">
      <c r="D192" s="37"/>
      <c r="E192" s="37"/>
      <c r="F192" s="37"/>
      <c r="G192" s="37"/>
      <c r="H192" s="37"/>
      <c r="I192" s="37"/>
      <c r="J192" s="37"/>
      <c r="K192" s="37"/>
      <c r="L192" s="37"/>
    </row>
    <row r="193" spans="4:12" ht="15.75" customHeight="1">
      <c r="D193" s="37"/>
      <c r="E193" s="37"/>
      <c r="F193" s="37"/>
      <c r="G193" s="37"/>
      <c r="H193" s="37"/>
      <c r="I193" s="37"/>
      <c r="J193" s="37"/>
      <c r="K193" s="37"/>
      <c r="L193" s="37"/>
    </row>
    <row r="194" spans="4:12" ht="15.75" customHeight="1">
      <c r="D194" s="37"/>
      <c r="E194" s="37"/>
      <c r="F194" s="37"/>
      <c r="G194" s="37"/>
      <c r="H194" s="37"/>
      <c r="I194" s="37"/>
      <c r="J194" s="37"/>
      <c r="K194" s="37"/>
      <c r="L194" s="37"/>
    </row>
    <row r="195" spans="4:12" ht="15.75" customHeight="1">
      <c r="D195" s="37"/>
      <c r="E195" s="37"/>
      <c r="F195" s="37"/>
      <c r="G195" s="37"/>
      <c r="H195" s="37"/>
      <c r="I195" s="37"/>
      <c r="J195" s="37"/>
      <c r="K195" s="37"/>
      <c r="L195" s="37"/>
    </row>
    <row r="196" spans="4:12" ht="15.75" customHeight="1">
      <c r="D196" s="37"/>
      <c r="E196" s="37"/>
      <c r="F196" s="37"/>
      <c r="G196" s="37"/>
      <c r="H196" s="37"/>
      <c r="I196" s="37"/>
      <c r="J196" s="37"/>
      <c r="K196" s="37"/>
      <c r="L196" s="37"/>
    </row>
    <row r="197" spans="4:12" ht="15.75" customHeight="1">
      <c r="D197" s="37"/>
      <c r="E197" s="37"/>
      <c r="F197" s="37"/>
      <c r="G197" s="37"/>
      <c r="H197" s="37"/>
      <c r="I197" s="37"/>
      <c r="J197" s="37"/>
      <c r="K197" s="37"/>
      <c r="L197" s="37"/>
    </row>
    <row r="198" spans="4:12" ht="15.75" customHeight="1">
      <c r="D198" s="37"/>
      <c r="E198" s="37"/>
      <c r="F198" s="37"/>
      <c r="G198" s="37"/>
      <c r="H198" s="37"/>
      <c r="I198" s="37"/>
      <c r="J198" s="37"/>
      <c r="K198" s="37"/>
      <c r="L198" s="37"/>
    </row>
    <row r="199" spans="4:12" ht="15.75" customHeight="1">
      <c r="D199" s="37"/>
      <c r="E199" s="37"/>
      <c r="F199" s="37"/>
      <c r="G199" s="37"/>
      <c r="H199" s="37"/>
      <c r="I199" s="37"/>
      <c r="J199" s="37"/>
      <c r="K199" s="37"/>
      <c r="L199" s="37"/>
    </row>
    <row r="200" spans="4:12" ht="15.75" customHeight="1">
      <c r="D200" s="37"/>
      <c r="E200" s="37"/>
      <c r="F200" s="37"/>
      <c r="G200" s="37"/>
      <c r="H200" s="37"/>
      <c r="I200" s="37"/>
      <c r="J200" s="37"/>
      <c r="K200" s="37"/>
      <c r="L200" s="37"/>
    </row>
    <row r="201" spans="4:12" ht="15.75" customHeight="1">
      <c r="D201" s="37"/>
      <c r="E201" s="37"/>
      <c r="F201" s="37"/>
      <c r="G201" s="37"/>
      <c r="H201" s="37"/>
      <c r="I201" s="37"/>
      <c r="J201" s="37"/>
      <c r="K201" s="37"/>
      <c r="L201" s="37"/>
    </row>
    <row r="202" spans="4:12" ht="15.75" customHeight="1">
      <c r="D202" s="37"/>
      <c r="E202" s="37"/>
      <c r="F202" s="37"/>
      <c r="G202" s="37"/>
      <c r="H202" s="37"/>
      <c r="I202" s="37"/>
      <c r="J202" s="37"/>
      <c r="K202" s="37"/>
      <c r="L202" s="37"/>
    </row>
    <row r="203" spans="4:12" ht="15.75" customHeight="1">
      <c r="D203" s="37"/>
      <c r="E203" s="37"/>
      <c r="F203" s="37"/>
      <c r="G203" s="37"/>
      <c r="H203" s="37"/>
      <c r="I203" s="37"/>
      <c r="J203" s="37"/>
      <c r="K203" s="37"/>
      <c r="L203" s="37"/>
    </row>
    <row r="204" spans="4:12" ht="15.75" customHeight="1">
      <c r="D204" s="37"/>
      <c r="E204" s="37"/>
      <c r="F204" s="37"/>
      <c r="G204" s="37"/>
      <c r="H204" s="37"/>
      <c r="I204" s="37"/>
      <c r="J204" s="37"/>
      <c r="K204" s="37"/>
      <c r="L204" s="37"/>
    </row>
    <row r="205" spans="4:12" ht="15.75" customHeight="1">
      <c r="D205" s="37"/>
      <c r="E205" s="37"/>
      <c r="F205" s="37"/>
      <c r="G205" s="37"/>
      <c r="H205" s="37"/>
      <c r="I205" s="37"/>
      <c r="J205" s="37"/>
      <c r="K205" s="37"/>
      <c r="L205" s="37"/>
    </row>
    <row r="206" spans="4:12" ht="15.75" customHeight="1">
      <c r="D206" s="37"/>
      <c r="E206" s="37"/>
      <c r="F206" s="37"/>
      <c r="G206" s="37"/>
      <c r="H206" s="37"/>
      <c r="I206" s="37"/>
      <c r="J206" s="37"/>
      <c r="K206" s="37"/>
      <c r="L206" s="37"/>
    </row>
    <row r="207" spans="4:12" ht="15.75" customHeight="1">
      <c r="D207" s="37"/>
      <c r="E207" s="37"/>
      <c r="F207" s="37"/>
      <c r="G207" s="37"/>
      <c r="H207" s="37"/>
      <c r="I207" s="37"/>
      <c r="J207" s="37"/>
      <c r="K207" s="37"/>
      <c r="L207" s="37"/>
    </row>
    <row r="208" spans="4:12" ht="15.75" customHeight="1">
      <c r="D208" s="37"/>
      <c r="E208" s="37"/>
      <c r="F208" s="37"/>
      <c r="G208" s="37"/>
      <c r="H208" s="37"/>
      <c r="I208" s="37"/>
      <c r="J208" s="37"/>
      <c r="K208" s="37"/>
      <c r="L208" s="37"/>
    </row>
    <row r="209" spans="4:12" ht="15.75" customHeight="1">
      <c r="D209" s="37"/>
      <c r="E209" s="37"/>
      <c r="F209" s="37"/>
      <c r="G209" s="37"/>
      <c r="H209" s="37"/>
      <c r="I209" s="37"/>
      <c r="J209" s="37"/>
      <c r="K209" s="37"/>
      <c r="L209" s="37"/>
    </row>
    <row r="210" spans="4:12" ht="15.75" customHeight="1">
      <c r="D210" s="37"/>
      <c r="E210" s="37"/>
      <c r="F210" s="37"/>
      <c r="G210" s="37"/>
      <c r="H210" s="37"/>
      <c r="I210" s="37"/>
      <c r="J210" s="37"/>
      <c r="K210" s="37"/>
      <c r="L210" s="37"/>
    </row>
    <row r="211" spans="4:12" ht="15.75" customHeight="1">
      <c r="D211" s="37"/>
      <c r="E211" s="37"/>
      <c r="F211" s="37"/>
      <c r="G211" s="37"/>
      <c r="H211" s="37"/>
      <c r="I211" s="37"/>
      <c r="J211" s="37"/>
      <c r="K211" s="37"/>
      <c r="L211" s="37"/>
    </row>
    <row r="212" spans="4:12" ht="15.75" customHeight="1">
      <c r="D212" s="37"/>
      <c r="E212" s="37"/>
      <c r="F212" s="37"/>
      <c r="G212" s="37"/>
      <c r="H212" s="37"/>
      <c r="I212" s="37"/>
      <c r="J212" s="37"/>
      <c r="K212" s="37"/>
      <c r="L212" s="37"/>
    </row>
    <row r="213" spans="4:12" ht="15.75" customHeight="1">
      <c r="D213" s="37"/>
      <c r="E213" s="37"/>
      <c r="F213" s="37"/>
      <c r="G213" s="37"/>
      <c r="H213" s="37"/>
      <c r="I213" s="37"/>
      <c r="J213" s="37"/>
      <c r="K213" s="37"/>
      <c r="L213" s="37"/>
    </row>
    <row r="214" spans="4:12" ht="15.75" customHeight="1">
      <c r="D214" s="37"/>
      <c r="E214" s="37"/>
      <c r="F214" s="37"/>
      <c r="G214" s="37"/>
      <c r="H214" s="37"/>
      <c r="I214" s="37"/>
      <c r="J214" s="37"/>
      <c r="K214" s="37"/>
      <c r="L214" s="37"/>
    </row>
    <row r="215" spans="4:12" ht="15.75" customHeight="1">
      <c r="D215" s="37"/>
      <c r="E215" s="37"/>
      <c r="F215" s="37"/>
      <c r="G215" s="37"/>
      <c r="H215" s="37"/>
      <c r="I215" s="37"/>
      <c r="J215" s="37"/>
      <c r="K215" s="37"/>
      <c r="L215" s="37"/>
    </row>
    <row r="216" spans="4:12" ht="15.75" customHeight="1">
      <c r="D216" s="37"/>
      <c r="E216" s="37"/>
      <c r="F216" s="37"/>
      <c r="G216" s="37"/>
      <c r="H216" s="37"/>
      <c r="I216" s="37"/>
      <c r="J216" s="37"/>
      <c r="K216" s="37"/>
      <c r="L216" s="37"/>
    </row>
    <row r="217" spans="4:12" ht="15.75" customHeight="1">
      <c r="D217" s="37"/>
      <c r="E217" s="37"/>
      <c r="F217" s="37"/>
      <c r="G217" s="37"/>
      <c r="H217" s="37"/>
      <c r="I217" s="37"/>
      <c r="J217" s="37"/>
      <c r="K217" s="37"/>
      <c r="L217" s="37"/>
    </row>
    <row r="218" spans="4:12" ht="15.75" customHeight="1">
      <c r="D218" s="37"/>
      <c r="E218" s="37"/>
      <c r="F218" s="37"/>
      <c r="G218" s="37"/>
      <c r="H218" s="37"/>
      <c r="I218" s="37"/>
      <c r="J218" s="37"/>
      <c r="K218" s="37"/>
      <c r="L218" s="37"/>
    </row>
    <row r="219" spans="4:12" ht="15.75" customHeight="1">
      <c r="D219" s="37"/>
      <c r="E219" s="37"/>
      <c r="F219" s="37"/>
      <c r="G219" s="37"/>
      <c r="H219" s="37"/>
      <c r="I219" s="37"/>
      <c r="J219" s="37"/>
      <c r="K219" s="37"/>
      <c r="L219" s="37"/>
    </row>
    <row r="220" spans="4:12" ht="15.75" customHeight="1">
      <c r="D220" s="37"/>
      <c r="E220" s="37"/>
      <c r="F220" s="37"/>
      <c r="G220" s="37"/>
      <c r="H220" s="37"/>
      <c r="I220" s="37"/>
      <c r="J220" s="37"/>
      <c r="K220" s="37"/>
      <c r="L220" s="37"/>
    </row>
    <row r="221" spans="4:12" ht="15.75" customHeight="1">
      <c r="D221" s="37"/>
      <c r="E221" s="37"/>
      <c r="F221" s="37"/>
      <c r="G221" s="37"/>
      <c r="H221" s="37"/>
      <c r="I221" s="37"/>
      <c r="J221" s="37"/>
      <c r="K221" s="37"/>
      <c r="L221" s="37"/>
    </row>
    <row r="222" spans="4:12" ht="15.75" customHeight="1">
      <c r="D222" s="37"/>
      <c r="E222" s="37"/>
      <c r="F222" s="37"/>
      <c r="G222" s="37"/>
      <c r="H222" s="37"/>
      <c r="I222" s="37"/>
      <c r="J222" s="37"/>
      <c r="K222" s="37"/>
      <c r="L222" s="37"/>
    </row>
    <row r="223" spans="4:12" ht="15.75" customHeight="1">
      <c r="D223" s="37"/>
      <c r="E223" s="37"/>
      <c r="F223" s="37"/>
      <c r="G223" s="37"/>
      <c r="H223" s="37"/>
      <c r="I223" s="37"/>
      <c r="J223" s="37"/>
      <c r="K223" s="37"/>
      <c r="L223" s="37"/>
    </row>
    <row r="224" spans="4:12" ht="15.75" customHeight="1">
      <c r="D224" s="37"/>
      <c r="E224" s="37"/>
      <c r="F224" s="37"/>
      <c r="G224" s="37"/>
      <c r="H224" s="37"/>
      <c r="I224" s="37"/>
      <c r="J224" s="37"/>
      <c r="K224" s="37"/>
      <c r="L224" s="37"/>
    </row>
    <row r="225" spans="4:12" ht="15.75" customHeight="1">
      <c r="D225" s="37"/>
      <c r="E225" s="37"/>
      <c r="F225" s="37"/>
      <c r="G225" s="37"/>
      <c r="H225" s="37"/>
      <c r="I225" s="37"/>
      <c r="J225" s="37"/>
      <c r="K225" s="37"/>
      <c r="L225" s="37"/>
    </row>
    <row r="226" spans="4:12" ht="15.75" customHeight="1">
      <c r="D226" s="37"/>
      <c r="E226" s="37"/>
      <c r="F226" s="37"/>
      <c r="G226" s="37"/>
      <c r="H226" s="37"/>
      <c r="I226" s="37"/>
      <c r="J226" s="37"/>
      <c r="K226" s="37"/>
      <c r="L226" s="37"/>
    </row>
    <row r="227" spans="4:12" ht="15.75" customHeight="1">
      <c r="D227" s="37"/>
      <c r="E227" s="37"/>
      <c r="F227" s="37"/>
      <c r="G227" s="37"/>
      <c r="H227" s="37"/>
      <c r="I227" s="37"/>
      <c r="J227" s="37"/>
      <c r="K227" s="37"/>
      <c r="L227" s="37"/>
    </row>
    <row r="228" spans="4:12" ht="15.75" customHeight="1">
      <c r="D228" s="37"/>
      <c r="E228" s="37"/>
      <c r="F228" s="37"/>
      <c r="G228" s="37"/>
      <c r="H228" s="37"/>
      <c r="I228" s="37"/>
      <c r="J228" s="37"/>
      <c r="K228" s="37"/>
      <c r="L228" s="37"/>
    </row>
    <row r="229" spans="4:12" ht="15.75" customHeight="1">
      <c r="D229" s="37"/>
      <c r="E229" s="37"/>
      <c r="F229" s="37"/>
      <c r="G229" s="37"/>
      <c r="H229" s="37"/>
      <c r="I229" s="37"/>
      <c r="J229" s="37"/>
      <c r="K229" s="37"/>
      <c r="L229" s="37"/>
    </row>
    <row r="230" spans="4:12" ht="15.75" customHeight="1">
      <c r="D230" s="37"/>
      <c r="E230" s="37"/>
      <c r="F230" s="37"/>
      <c r="G230" s="37"/>
      <c r="H230" s="37"/>
      <c r="I230" s="37"/>
      <c r="J230" s="37"/>
      <c r="K230" s="37"/>
      <c r="L230" s="37"/>
    </row>
    <row r="231" spans="4:12" ht="15.75" customHeight="1">
      <c r="D231" s="37"/>
      <c r="E231" s="37"/>
      <c r="F231" s="37"/>
      <c r="G231" s="37"/>
      <c r="H231" s="37"/>
      <c r="I231" s="37"/>
      <c r="J231" s="37"/>
      <c r="K231" s="37"/>
      <c r="L231" s="37"/>
    </row>
    <row r="232" spans="4:12" ht="15.75" customHeight="1">
      <c r="D232" s="37"/>
      <c r="E232" s="37"/>
      <c r="F232" s="37"/>
      <c r="G232" s="37"/>
      <c r="H232" s="37"/>
      <c r="I232" s="37"/>
      <c r="J232" s="37"/>
      <c r="K232" s="37"/>
      <c r="L232" s="37"/>
    </row>
    <row r="233" spans="4:12" ht="15.75" customHeight="1">
      <c r="D233" s="37"/>
      <c r="E233" s="37"/>
      <c r="F233" s="37"/>
      <c r="G233" s="37"/>
      <c r="H233" s="37"/>
      <c r="I233" s="37"/>
      <c r="J233" s="37"/>
      <c r="K233" s="37"/>
      <c r="L233" s="37"/>
    </row>
    <row r="234" spans="4:12" ht="15.75" customHeight="1">
      <c r="D234" s="37"/>
      <c r="E234" s="37"/>
      <c r="F234" s="37"/>
      <c r="G234" s="37"/>
      <c r="H234" s="37"/>
      <c r="I234" s="37"/>
      <c r="J234" s="37"/>
      <c r="K234" s="37"/>
      <c r="L234" s="37"/>
    </row>
    <row r="235" spans="4:12" ht="15.75" customHeight="1">
      <c r="D235" s="37"/>
      <c r="E235" s="37"/>
      <c r="F235" s="37"/>
      <c r="G235" s="37"/>
      <c r="H235" s="37"/>
      <c r="I235" s="37"/>
      <c r="J235" s="37"/>
      <c r="K235" s="37"/>
      <c r="L235" s="37"/>
    </row>
    <row r="236" spans="4:12" ht="15.75" customHeight="1">
      <c r="D236" s="37"/>
      <c r="E236" s="37"/>
      <c r="F236" s="37"/>
      <c r="G236" s="37"/>
      <c r="H236" s="37"/>
      <c r="I236" s="37"/>
      <c r="J236" s="37"/>
      <c r="K236" s="37"/>
      <c r="L236" s="37"/>
    </row>
    <row r="237" spans="4:12" ht="15.75" customHeight="1">
      <c r="D237" s="37"/>
      <c r="E237" s="37"/>
      <c r="F237" s="37"/>
      <c r="G237" s="37"/>
      <c r="H237" s="37"/>
      <c r="I237" s="37"/>
      <c r="J237" s="37"/>
      <c r="K237" s="37"/>
      <c r="L237" s="37"/>
    </row>
    <row r="238" spans="4:12" ht="15.75" customHeight="1">
      <c r="D238" s="37"/>
      <c r="E238" s="37"/>
      <c r="F238" s="37"/>
      <c r="G238" s="37"/>
      <c r="H238" s="37"/>
      <c r="I238" s="37"/>
      <c r="J238" s="37"/>
      <c r="K238" s="37"/>
      <c r="L238" s="37"/>
    </row>
    <row r="239" spans="4:12" ht="15.75" customHeight="1">
      <c r="D239" s="37"/>
      <c r="E239" s="37"/>
      <c r="F239" s="37"/>
      <c r="G239" s="37"/>
      <c r="H239" s="37"/>
      <c r="I239" s="37"/>
      <c r="J239" s="37"/>
      <c r="K239" s="37"/>
      <c r="L239" s="37"/>
    </row>
    <row r="240" spans="4:12" ht="15.75" customHeight="1">
      <c r="D240" s="37"/>
      <c r="E240" s="37"/>
      <c r="F240" s="37"/>
      <c r="G240" s="37"/>
      <c r="H240" s="37"/>
      <c r="I240" s="37"/>
      <c r="J240" s="37"/>
      <c r="K240" s="37"/>
      <c r="L240" s="37"/>
    </row>
    <row r="241" spans="4:12" ht="15.75" customHeight="1">
      <c r="D241" s="37"/>
      <c r="E241" s="37"/>
      <c r="F241" s="37"/>
      <c r="G241" s="37"/>
      <c r="H241" s="37"/>
      <c r="I241" s="37"/>
      <c r="J241" s="37"/>
      <c r="K241" s="37"/>
      <c r="L241" s="37"/>
    </row>
    <row r="242" spans="4:12" ht="15.75" customHeight="1"/>
    <row r="243" spans="4:12" ht="15.75" customHeight="1"/>
    <row r="244" spans="4:12" ht="15.75" customHeight="1"/>
    <row r="245" spans="4:12" ht="15.75" customHeight="1"/>
    <row r="246" spans="4:12" ht="15.75" customHeight="1"/>
    <row r="247" spans="4:12" ht="15.75" customHeight="1"/>
    <row r="248" spans="4:12" ht="15.75" customHeight="1"/>
    <row r="249" spans="4:12" ht="15.75" customHeight="1"/>
    <row r="250" spans="4:12" ht="15.75" customHeight="1"/>
    <row r="251" spans="4:12" ht="15.75" customHeight="1"/>
    <row r="252" spans="4:12" ht="15.75" customHeight="1"/>
    <row r="253" spans="4:12" ht="15.75" customHeight="1"/>
    <row r="254" spans="4:12" ht="15.75" customHeight="1"/>
    <row r="255" spans="4:12" ht="15.75" customHeight="1"/>
    <row r="256" spans="4:1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L30" xr:uid="{00000000-0009-0000-0000-000004000000}"/>
  <mergeCells count="18">
    <mergeCell ref="A41:L41"/>
    <mergeCell ref="A1:A3"/>
    <mergeCell ref="A33:C34"/>
    <mergeCell ref="J33:L35"/>
    <mergeCell ref="A35:C35"/>
    <mergeCell ref="D35:I35"/>
    <mergeCell ref="A36:L36"/>
    <mergeCell ref="A37:L37"/>
    <mergeCell ref="A5:L5"/>
    <mergeCell ref="A6:J6"/>
    <mergeCell ref="A38:L38"/>
    <mergeCell ref="A39:L39"/>
    <mergeCell ref="A40:L40"/>
    <mergeCell ref="B1:J3"/>
    <mergeCell ref="K1:L1"/>
    <mergeCell ref="K2:L2"/>
    <mergeCell ref="K3:L3"/>
    <mergeCell ref="B4:L4"/>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9DAF8"/>
  </sheetPr>
  <dimension ref="A1:AA1000"/>
  <sheetViews>
    <sheetView workbookViewId="0">
      <selection activeCell="C8" sqref="C8"/>
    </sheetView>
  </sheetViews>
  <sheetFormatPr baseColWidth="10" defaultColWidth="14.42578125" defaultRowHeight="15" customHeight="1"/>
  <cols>
    <col min="1" max="1" width="30" customWidth="1"/>
    <col min="2" max="2" width="14.28515625" customWidth="1"/>
    <col min="3" max="3" width="8.85546875" customWidth="1"/>
    <col min="4" max="4" width="16.28515625" customWidth="1"/>
    <col min="5" max="5" width="16.85546875" customWidth="1"/>
    <col min="6" max="6" width="17.5703125" customWidth="1"/>
    <col min="7" max="7" width="27.140625" customWidth="1"/>
    <col min="8" max="8" width="31.28515625" customWidth="1"/>
    <col min="9" max="9" width="11.5703125" customWidth="1"/>
    <col min="10" max="27" width="8" customWidth="1"/>
  </cols>
  <sheetData>
    <row r="1" spans="1:27" ht="21" customHeight="1">
      <c r="A1" s="127"/>
      <c r="B1" s="129" t="s">
        <v>55</v>
      </c>
      <c r="C1" s="130"/>
      <c r="D1" s="130"/>
      <c r="E1" s="130"/>
      <c r="F1" s="130"/>
      <c r="G1" s="131"/>
      <c r="H1" s="62" t="s">
        <v>56</v>
      </c>
    </row>
    <row r="2" spans="1:27" ht="21" customHeight="1">
      <c r="A2" s="128"/>
      <c r="B2" s="132"/>
      <c r="C2" s="128"/>
      <c r="D2" s="128"/>
      <c r="E2" s="128"/>
      <c r="F2" s="128"/>
      <c r="G2" s="133"/>
      <c r="H2" s="62" t="s">
        <v>2</v>
      </c>
    </row>
    <row r="3" spans="1:27" ht="21" customHeight="1">
      <c r="A3" s="135"/>
      <c r="B3" s="134"/>
      <c r="C3" s="135"/>
      <c r="D3" s="135"/>
      <c r="E3" s="135"/>
      <c r="F3" s="135"/>
      <c r="G3" s="136"/>
      <c r="H3" s="62" t="s">
        <v>3</v>
      </c>
    </row>
    <row r="4" spans="1:27" ht="35.25" customHeight="1">
      <c r="A4" s="63" t="s">
        <v>4</v>
      </c>
      <c r="B4" s="170" t="s">
        <v>5</v>
      </c>
      <c r="C4" s="140"/>
      <c r="D4" s="140"/>
      <c r="E4" s="140"/>
      <c r="F4" s="140"/>
      <c r="G4" s="140"/>
      <c r="H4" s="138"/>
      <c r="I4" s="64"/>
      <c r="J4" s="64"/>
      <c r="K4" s="64"/>
      <c r="L4" s="64"/>
      <c r="M4" s="64"/>
      <c r="N4" s="64"/>
      <c r="O4" s="64"/>
      <c r="P4" s="64"/>
      <c r="Q4" s="64"/>
      <c r="R4" s="64"/>
      <c r="S4" s="64"/>
      <c r="T4" s="64"/>
      <c r="U4" s="64"/>
      <c r="V4" s="64"/>
      <c r="W4" s="64"/>
      <c r="X4" s="64"/>
      <c r="Y4" s="64"/>
      <c r="Z4" s="64"/>
      <c r="AA4" s="64"/>
    </row>
    <row r="5" spans="1:27">
      <c r="A5" s="141" t="s">
        <v>57</v>
      </c>
      <c r="B5" s="140"/>
      <c r="C5" s="140"/>
      <c r="D5" s="140"/>
      <c r="E5" s="140"/>
      <c r="F5" s="140"/>
      <c r="G5" s="140"/>
      <c r="H5" s="138"/>
    </row>
    <row r="6" spans="1:27">
      <c r="A6" s="141" t="s">
        <v>7</v>
      </c>
      <c r="B6" s="140"/>
      <c r="C6" s="140"/>
      <c r="D6" s="140"/>
      <c r="E6" s="140"/>
      <c r="F6" s="140"/>
      <c r="G6" s="138"/>
      <c r="H6" s="2" t="s">
        <v>58</v>
      </c>
    </row>
    <row r="7" spans="1:27" ht="30" customHeight="1">
      <c r="A7" s="4" t="s">
        <v>11</v>
      </c>
      <c r="B7" s="4" t="s">
        <v>12</v>
      </c>
      <c r="C7" s="4" t="s">
        <v>38</v>
      </c>
      <c r="D7" s="4" t="s">
        <v>59</v>
      </c>
      <c r="E7" s="4" t="s">
        <v>60</v>
      </c>
      <c r="F7" s="5" t="s">
        <v>61</v>
      </c>
      <c r="G7" s="5" t="s">
        <v>62</v>
      </c>
      <c r="H7" s="41" t="s">
        <v>19</v>
      </c>
      <c r="I7" s="65" t="s">
        <v>21</v>
      </c>
      <c r="J7" s="81"/>
    </row>
    <row r="8" spans="1:27" ht="15.75" customHeight="1">
      <c r="A8" s="8"/>
      <c r="B8" s="9"/>
      <c r="C8" s="9"/>
      <c r="D8" s="9"/>
      <c r="E8" s="9"/>
      <c r="F8" s="9"/>
      <c r="G8" s="9"/>
      <c r="H8" s="9"/>
      <c r="I8" s="9"/>
      <c r="J8" s="81"/>
    </row>
    <row r="9" spans="1:27">
      <c r="A9" s="8"/>
      <c r="B9" s="9"/>
      <c r="C9" s="9"/>
      <c r="D9" s="9"/>
      <c r="E9" s="9"/>
      <c r="F9" s="9"/>
      <c r="G9" s="9"/>
      <c r="H9" s="9"/>
      <c r="I9" s="9"/>
      <c r="J9" s="81"/>
      <c r="K9" s="37"/>
      <c r="L9" s="37"/>
    </row>
    <row r="10" spans="1:27">
      <c r="A10" s="8"/>
      <c r="B10" s="9"/>
      <c r="C10" s="9"/>
      <c r="D10" s="9"/>
      <c r="E10" s="9"/>
      <c r="F10" s="9"/>
      <c r="G10" s="9"/>
      <c r="H10" s="9"/>
      <c r="I10" s="9"/>
    </row>
    <row r="11" spans="1:27">
      <c r="A11" s="8"/>
      <c r="B11" s="9"/>
      <c r="C11" s="9"/>
      <c r="D11" s="9"/>
      <c r="E11" s="9"/>
      <c r="F11" s="9"/>
      <c r="G11" s="9"/>
      <c r="H11" s="9"/>
      <c r="I11" s="9"/>
    </row>
    <row r="12" spans="1:27">
      <c r="A12" s="8"/>
      <c r="B12" s="9"/>
      <c r="C12" s="9"/>
      <c r="D12" s="9"/>
      <c r="E12" s="9"/>
      <c r="F12" s="9"/>
      <c r="G12" s="9"/>
      <c r="H12" s="9"/>
      <c r="I12" s="10"/>
    </row>
    <row r="13" spans="1:27">
      <c r="A13" s="49"/>
      <c r="B13" s="9"/>
      <c r="C13" s="18"/>
      <c r="D13" s="18"/>
      <c r="E13" s="18"/>
      <c r="F13" s="18"/>
      <c r="G13" s="18"/>
      <c r="H13" s="52"/>
      <c r="I13" s="66"/>
    </row>
    <row r="14" spans="1:27">
      <c r="A14" s="49"/>
      <c r="B14" s="9"/>
      <c r="C14" s="18"/>
      <c r="D14" s="18"/>
      <c r="E14" s="18"/>
      <c r="F14" s="18"/>
      <c r="G14" s="18"/>
      <c r="H14" s="82"/>
      <c r="I14" s="66"/>
    </row>
    <row r="15" spans="1:27">
      <c r="A15" s="49"/>
      <c r="B15" s="9"/>
      <c r="C15" s="18"/>
      <c r="D15" s="18"/>
      <c r="E15" s="18"/>
      <c r="F15" s="18"/>
      <c r="G15" s="18"/>
      <c r="H15" s="9"/>
      <c r="I15" s="83"/>
    </row>
    <row r="16" spans="1:27" ht="26.25" customHeight="1">
      <c r="A16" s="49"/>
      <c r="B16" s="84"/>
      <c r="C16" s="18"/>
      <c r="D16" s="18"/>
      <c r="E16" s="18"/>
      <c r="F16" s="18"/>
      <c r="G16" s="18"/>
      <c r="H16" s="80"/>
      <c r="I16" s="83"/>
    </row>
    <row r="17" spans="1:27" ht="16.5" customHeight="1">
      <c r="A17" s="8"/>
      <c r="B17" s="84"/>
      <c r="C17" s="18"/>
      <c r="D17" s="18"/>
      <c r="E17" s="18"/>
      <c r="F17" s="18"/>
      <c r="G17" s="14"/>
      <c r="H17" s="9"/>
      <c r="I17" s="10"/>
      <c r="J17" s="37"/>
      <c r="K17" s="37"/>
      <c r="L17" s="37"/>
      <c r="M17" s="37"/>
      <c r="N17" s="37"/>
      <c r="O17" s="37"/>
      <c r="P17" s="37"/>
      <c r="Q17" s="37"/>
      <c r="R17" s="37"/>
      <c r="S17" s="37"/>
      <c r="T17" s="37"/>
      <c r="U17" s="37"/>
      <c r="V17" s="37"/>
      <c r="W17" s="37"/>
      <c r="X17" s="37"/>
      <c r="Y17" s="37"/>
      <c r="Z17" s="37"/>
      <c r="AA17" s="37"/>
    </row>
    <row r="18" spans="1:27" ht="16.5" customHeight="1">
      <c r="A18" s="8"/>
      <c r="B18" s="84"/>
      <c r="C18" s="18"/>
      <c r="D18" s="18"/>
      <c r="E18" s="18"/>
      <c r="F18" s="18"/>
      <c r="G18" s="14"/>
      <c r="H18" s="68"/>
      <c r="I18" s="10"/>
      <c r="J18" s="37"/>
      <c r="K18" s="37"/>
      <c r="L18" s="37"/>
      <c r="M18" s="37"/>
      <c r="N18" s="37"/>
      <c r="O18" s="37"/>
      <c r="P18" s="37"/>
      <c r="Q18" s="37"/>
      <c r="R18" s="37"/>
      <c r="S18" s="37"/>
      <c r="T18" s="37"/>
      <c r="U18" s="37"/>
      <c r="V18" s="37"/>
      <c r="W18" s="37"/>
      <c r="X18" s="37"/>
      <c r="Y18" s="37"/>
      <c r="Z18" s="37"/>
      <c r="AA18" s="37"/>
    </row>
    <row r="19" spans="1:27" ht="16.5" customHeight="1">
      <c r="A19" s="8"/>
      <c r="B19" s="84"/>
      <c r="C19" s="18"/>
      <c r="D19" s="82"/>
      <c r="E19" s="18"/>
      <c r="F19" s="18"/>
      <c r="G19" s="82"/>
      <c r="H19" s="68"/>
      <c r="I19" s="10"/>
      <c r="J19" s="37"/>
      <c r="K19" s="37"/>
      <c r="L19" s="37"/>
      <c r="M19" s="37"/>
      <c r="N19" s="37"/>
      <c r="O19" s="37"/>
      <c r="P19" s="37"/>
      <c r="Q19" s="37"/>
      <c r="R19" s="37"/>
      <c r="S19" s="37"/>
      <c r="T19" s="37"/>
      <c r="U19" s="37"/>
      <c r="V19" s="37"/>
      <c r="W19" s="37"/>
      <c r="X19" s="37"/>
      <c r="Y19" s="37"/>
      <c r="Z19" s="37"/>
      <c r="AA19" s="37"/>
    </row>
    <row r="20" spans="1:27" ht="16.5" customHeight="1">
      <c r="A20" s="8"/>
      <c r="B20" s="84"/>
      <c r="C20" s="18"/>
      <c r="D20" s="82"/>
      <c r="E20" s="18"/>
      <c r="F20" s="18"/>
      <c r="G20" s="82"/>
      <c r="H20" s="68"/>
      <c r="I20" s="10"/>
      <c r="J20" s="37"/>
      <c r="K20" s="37"/>
      <c r="L20" s="37"/>
      <c r="M20" s="37"/>
      <c r="N20" s="37"/>
      <c r="O20" s="37"/>
      <c r="P20" s="37"/>
      <c r="Q20" s="37"/>
      <c r="R20" s="37"/>
      <c r="S20" s="37"/>
      <c r="T20" s="37"/>
      <c r="U20" s="37"/>
      <c r="V20" s="37"/>
      <c r="W20" s="37"/>
      <c r="X20" s="37"/>
      <c r="Y20" s="37"/>
      <c r="Z20" s="37"/>
      <c r="AA20" s="37"/>
    </row>
    <row r="21" spans="1:27" ht="16.5" customHeight="1">
      <c r="A21" s="8"/>
      <c r="B21" s="84"/>
      <c r="C21" s="9"/>
      <c r="D21" s="82"/>
      <c r="E21" s="82"/>
      <c r="F21" s="82"/>
      <c r="G21" s="82"/>
      <c r="H21" s="68"/>
      <c r="I21" s="10"/>
      <c r="J21" s="37"/>
      <c r="K21" s="37"/>
      <c r="L21" s="37"/>
      <c r="M21" s="37"/>
      <c r="N21" s="37"/>
      <c r="O21" s="37"/>
      <c r="P21" s="37"/>
      <c r="Q21" s="37"/>
      <c r="R21" s="37"/>
      <c r="S21" s="37"/>
      <c r="T21" s="37"/>
      <c r="U21" s="37"/>
      <c r="V21" s="37"/>
      <c r="W21" s="37"/>
      <c r="X21" s="37"/>
      <c r="Y21" s="37"/>
      <c r="Z21" s="37"/>
      <c r="AA21" s="37"/>
    </row>
    <row r="22" spans="1:27" ht="16.5" customHeight="1">
      <c r="A22" s="8"/>
      <c r="B22" s="84"/>
      <c r="C22" s="9"/>
      <c r="D22" s="82"/>
      <c r="E22" s="82"/>
      <c r="F22" s="82"/>
      <c r="G22" s="82"/>
      <c r="H22" s="68"/>
      <c r="I22" s="37"/>
      <c r="J22" s="37"/>
      <c r="K22" s="37"/>
      <c r="L22" s="37"/>
      <c r="M22" s="37"/>
      <c r="N22" s="37"/>
      <c r="O22" s="37"/>
      <c r="P22" s="37"/>
      <c r="Q22" s="37"/>
      <c r="R22" s="37"/>
      <c r="S22" s="37"/>
      <c r="T22" s="37"/>
      <c r="U22" s="37"/>
      <c r="V22" s="37"/>
      <c r="W22" s="37"/>
      <c r="X22" s="37"/>
      <c r="Y22" s="37"/>
      <c r="Z22" s="37"/>
      <c r="AA22" s="37"/>
    </row>
    <row r="23" spans="1:27" ht="16.5" customHeight="1">
      <c r="A23" s="8"/>
      <c r="B23" s="84"/>
      <c r="C23" s="9"/>
      <c r="D23" s="82"/>
      <c r="E23" s="82"/>
      <c r="F23" s="82"/>
      <c r="G23" s="82"/>
      <c r="H23" s="68"/>
      <c r="I23" s="37"/>
      <c r="J23" s="37"/>
      <c r="K23" s="37"/>
      <c r="L23" s="37"/>
      <c r="M23" s="37"/>
      <c r="N23" s="37"/>
      <c r="O23" s="37"/>
      <c r="P23" s="37"/>
      <c r="Q23" s="37"/>
      <c r="R23" s="37"/>
      <c r="S23" s="37"/>
      <c r="T23" s="37"/>
      <c r="U23" s="37"/>
      <c r="V23" s="37"/>
      <c r="W23" s="37"/>
      <c r="X23" s="37"/>
      <c r="Y23" s="37"/>
      <c r="Z23" s="37"/>
      <c r="AA23" s="37"/>
    </row>
    <row r="24" spans="1:27" ht="16.5" customHeight="1">
      <c r="A24" s="8"/>
      <c r="B24" s="9"/>
      <c r="C24" s="9"/>
      <c r="D24" s="82"/>
      <c r="E24" s="82"/>
      <c r="F24" s="82"/>
      <c r="G24" s="82"/>
      <c r="H24" s="68"/>
      <c r="I24" s="37"/>
      <c r="J24" s="37"/>
      <c r="K24" s="37"/>
      <c r="L24" s="37"/>
      <c r="M24" s="37"/>
      <c r="N24" s="37"/>
      <c r="O24" s="37"/>
      <c r="P24" s="37"/>
      <c r="Q24" s="37"/>
      <c r="R24" s="37"/>
      <c r="S24" s="37"/>
      <c r="T24" s="37"/>
      <c r="U24" s="37"/>
      <c r="V24" s="37"/>
      <c r="W24" s="37"/>
      <c r="X24" s="37"/>
      <c r="Y24" s="37"/>
      <c r="Z24" s="37"/>
      <c r="AA24" s="37"/>
    </row>
    <row r="25" spans="1:27" ht="16.5" customHeight="1">
      <c r="A25" s="8"/>
      <c r="B25" s="9"/>
      <c r="C25" s="9"/>
      <c r="D25" s="82"/>
      <c r="E25" s="82"/>
      <c r="F25" s="82"/>
      <c r="G25" s="82"/>
      <c r="H25" s="68"/>
      <c r="I25" s="37"/>
      <c r="J25" s="37"/>
      <c r="K25" s="37"/>
      <c r="L25" s="37"/>
      <c r="M25" s="37"/>
      <c r="N25" s="37"/>
      <c r="O25" s="37"/>
      <c r="P25" s="37"/>
      <c r="Q25" s="37"/>
      <c r="R25" s="37"/>
      <c r="S25" s="37"/>
      <c r="T25" s="37"/>
      <c r="U25" s="37"/>
      <c r="V25" s="37"/>
      <c r="W25" s="37"/>
      <c r="X25" s="37"/>
      <c r="Y25" s="37"/>
      <c r="Z25" s="37"/>
      <c r="AA25" s="37"/>
    </row>
    <row r="26" spans="1:27" ht="16.5" customHeight="1">
      <c r="A26" s="8"/>
      <c r="B26" s="14"/>
      <c r="C26" s="9"/>
      <c r="D26" s="82"/>
      <c r="E26" s="82"/>
      <c r="F26" s="82"/>
      <c r="G26" s="82"/>
      <c r="H26" s="68"/>
      <c r="I26" s="37"/>
      <c r="J26" s="37"/>
      <c r="K26" s="37"/>
      <c r="L26" s="37"/>
      <c r="M26" s="37"/>
      <c r="N26" s="37"/>
      <c r="O26" s="37"/>
      <c r="P26" s="37"/>
      <c r="Q26" s="37"/>
      <c r="R26" s="37"/>
      <c r="S26" s="37"/>
      <c r="T26" s="37"/>
      <c r="U26" s="37"/>
      <c r="V26" s="37"/>
      <c r="W26" s="37"/>
      <c r="X26" s="37"/>
      <c r="Y26" s="37"/>
      <c r="Z26" s="37"/>
      <c r="AA26" s="37"/>
    </row>
    <row r="27" spans="1:27" ht="16.5" customHeight="1">
      <c r="A27" s="8"/>
      <c r="B27" s="85"/>
      <c r="C27" s="9"/>
      <c r="D27" s="22"/>
      <c r="E27" s="25"/>
      <c r="F27" s="25"/>
      <c r="G27" s="86"/>
      <c r="H27" s="68"/>
      <c r="I27" s="37"/>
      <c r="J27" s="37"/>
      <c r="K27" s="37"/>
      <c r="L27" s="37"/>
      <c r="M27" s="37"/>
      <c r="N27" s="37"/>
      <c r="O27" s="37"/>
      <c r="P27" s="37"/>
      <c r="Q27" s="37"/>
      <c r="R27" s="37"/>
      <c r="S27" s="37"/>
      <c r="T27" s="37"/>
      <c r="U27" s="37"/>
      <c r="V27" s="37"/>
      <c r="W27" s="37"/>
      <c r="X27" s="37"/>
      <c r="Y27" s="37"/>
      <c r="Z27" s="37"/>
      <c r="AA27" s="37"/>
    </row>
    <row r="28" spans="1:27" ht="16.5" customHeight="1">
      <c r="A28" s="8"/>
      <c r="B28" s="85"/>
      <c r="C28" s="9"/>
      <c r="D28" s="22"/>
      <c r="E28" s="25"/>
      <c r="F28" s="25"/>
      <c r="G28" s="86"/>
      <c r="H28" s="68"/>
      <c r="I28" s="37"/>
      <c r="J28" s="37"/>
      <c r="K28" s="37"/>
      <c r="L28" s="37"/>
      <c r="M28" s="37"/>
      <c r="N28" s="37"/>
      <c r="O28" s="37"/>
      <c r="P28" s="37"/>
      <c r="Q28" s="37"/>
      <c r="R28" s="37"/>
      <c r="S28" s="37"/>
      <c r="T28" s="37"/>
      <c r="U28" s="37"/>
      <c r="V28" s="37"/>
      <c r="W28" s="37"/>
      <c r="X28" s="37"/>
      <c r="Y28" s="37"/>
      <c r="Z28" s="37"/>
      <c r="AA28" s="37"/>
    </row>
    <row r="29" spans="1:27" ht="16.5" customHeight="1">
      <c r="A29" s="8"/>
      <c r="B29" s="85"/>
      <c r="C29" s="9"/>
      <c r="D29" s="22"/>
      <c r="E29" s="25"/>
      <c r="F29" s="25"/>
      <c r="G29" s="86"/>
      <c r="H29" s="68"/>
      <c r="I29" s="37"/>
      <c r="J29" s="37"/>
      <c r="K29" s="37"/>
      <c r="L29" s="37"/>
      <c r="M29" s="37"/>
      <c r="N29" s="37"/>
      <c r="O29" s="37"/>
      <c r="P29" s="37"/>
      <c r="Q29" s="37"/>
      <c r="R29" s="37"/>
      <c r="S29" s="37"/>
      <c r="T29" s="37"/>
      <c r="U29" s="37"/>
      <c r="V29" s="37"/>
      <c r="W29" s="37"/>
      <c r="X29" s="37"/>
      <c r="Y29" s="37"/>
      <c r="Z29" s="37"/>
      <c r="AA29" s="37"/>
    </row>
    <row r="30" spans="1:27" ht="16.5" customHeight="1">
      <c r="A30" s="8"/>
      <c r="B30" s="87"/>
      <c r="C30" s="9"/>
      <c r="D30" s="22"/>
      <c r="E30" s="25"/>
      <c r="F30" s="25"/>
      <c r="G30" s="25"/>
      <c r="H30" s="88"/>
      <c r="I30" s="37"/>
      <c r="J30" s="37"/>
      <c r="K30" s="37"/>
      <c r="L30" s="37"/>
      <c r="M30" s="37"/>
      <c r="N30" s="37"/>
      <c r="O30" s="37"/>
      <c r="P30" s="37"/>
      <c r="Q30" s="37"/>
      <c r="R30" s="37"/>
      <c r="S30" s="37"/>
      <c r="T30" s="37"/>
      <c r="U30" s="37"/>
      <c r="V30" s="37"/>
      <c r="W30" s="37"/>
      <c r="X30" s="37"/>
      <c r="Y30" s="37"/>
      <c r="Z30" s="37"/>
      <c r="AA30" s="37"/>
    </row>
    <row r="31" spans="1:27" ht="15.75" customHeight="1">
      <c r="A31" s="8"/>
      <c r="B31" s="10"/>
      <c r="C31" s="59"/>
      <c r="D31" s="53"/>
      <c r="E31" s="53"/>
      <c r="F31" s="53"/>
      <c r="G31" s="19"/>
      <c r="H31" s="19"/>
    </row>
    <row r="32" spans="1:27" ht="15.75" customHeight="1">
      <c r="A32" s="8"/>
      <c r="B32" s="89"/>
      <c r="C32" s="73"/>
      <c r="D32" s="75"/>
      <c r="E32" s="75"/>
      <c r="F32" s="75"/>
      <c r="G32" s="76"/>
      <c r="H32" s="76"/>
    </row>
    <row r="33" spans="1:8" ht="15.75" customHeight="1">
      <c r="A33" s="171">
        <v>4</v>
      </c>
      <c r="B33" s="130"/>
      <c r="C33" s="131"/>
      <c r="D33" s="60">
        <f t="shared" ref="D33:E33" si="0">(COUNTIF(D7:D32,"SI")*1+COUNTIF(D7:D32,"NO")*0+COUNTIF(D7:D32,"NA")*0)</f>
        <v>0</v>
      </c>
      <c r="E33" s="60">
        <f t="shared" si="0"/>
        <v>0</v>
      </c>
      <c r="F33" s="60">
        <f>(COUNTIF(F7:F32,"SI")*1+COUNTIF(F7:F32,"SI")*0+COUNTIF(F7:F32,"NA")*0)</f>
        <v>0</v>
      </c>
      <c r="G33" s="60">
        <f>(COUNTIF(G7:G32,"SI")*1+COUNTIF(G7:G32,"NO")*0+COUNTIF(G7:G32,"NA")*0)</f>
        <v>0</v>
      </c>
      <c r="H33" s="172"/>
    </row>
    <row r="34" spans="1:8" ht="15.75" customHeight="1">
      <c r="A34" s="134"/>
      <c r="B34" s="135"/>
      <c r="C34" s="136"/>
      <c r="D34" s="61">
        <f>(D33/A33)*100</f>
        <v>0</v>
      </c>
      <c r="E34" s="61">
        <f>(E33/A33)*100</f>
        <v>0</v>
      </c>
      <c r="F34" s="61">
        <f>(F33/A33)*100</f>
        <v>0</v>
      </c>
      <c r="G34" s="61" t="e">
        <f>(G33/D33)*100</f>
        <v>#DIV/0!</v>
      </c>
      <c r="H34" s="173"/>
    </row>
    <row r="35" spans="1:8" ht="15.75" customHeight="1">
      <c r="A35" s="168" t="s">
        <v>26</v>
      </c>
      <c r="B35" s="140"/>
      <c r="C35" s="138"/>
      <c r="D35" s="169">
        <f>SUM(D34+E34+F34)/3</f>
        <v>0</v>
      </c>
      <c r="E35" s="140"/>
      <c r="F35" s="140"/>
      <c r="G35" s="138"/>
      <c r="H35" s="174"/>
    </row>
    <row r="36" spans="1:8" ht="18" customHeight="1">
      <c r="A36" s="156" t="s">
        <v>63</v>
      </c>
      <c r="B36" s="135"/>
      <c r="C36" s="135"/>
      <c r="D36" s="135"/>
      <c r="E36" s="135"/>
      <c r="F36" s="135"/>
      <c r="G36" s="135"/>
      <c r="H36" s="136"/>
    </row>
    <row r="37" spans="1:8" ht="15.75" customHeight="1">
      <c r="A37" s="157" t="s">
        <v>64</v>
      </c>
      <c r="B37" s="140"/>
      <c r="C37" s="140"/>
      <c r="D37" s="140"/>
      <c r="E37" s="140"/>
      <c r="F37" s="140"/>
      <c r="G37" s="140"/>
      <c r="H37" s="138"/>
    </row>
    <row r="38" spans="1:8" ht="15.75" customHeight="1">
      <c r="A38" s="158" t="s">
        <v>65</v>
      </c>
      <c r="B38" s="140"/>
      <c r="C38" s="140"/>
      <c r="D38" s="140"/>
      <c r="E38" s="140"/>
      <c r="F38" s="140"/>
      <c r="G38" s="140"/>
      <c r="H38" s="138"/>
    </row>
    <row r="39" spans="1:8" ht="15.75" customHeight="1">
      <c r="A39" s="159" t="s">
        <v>66</v>
      </c>
      <c r="B39" s="140"/>
      <c r="C39" s="140"/>
      <c r="D39" s="140"/>
      <c r="E39" s="140"/>
      <c r="F39" s="140"/>
      <c r="G39" s="140"/>
      <c r="H39" s="138"/>
    </row>
    <row r="40" spans="1:8" ht="15.75" customHeight="1">
      <c r="D40" s="37"/>
      <c r="E40" s="37"/>
      <c r="F40" s="37"/>
    </row>
    <row r="41" spans="1:8" ht="15.75" customHeight="1">
      <c r="D41" s="37"/>
      <c r="E41" s="37"/>
      <c r="F41" s="37"/>
    </row>
    <row r="42" spans="1:8" ht="15.75" customHeight="1">
      <c r="D42" s="37"/>
      <c r="E42" s="37"/>
      <c r="F42" s="37"/>
    </row>
    <row r="43" spans="1:8" ht="15.75" customHeight="1">
      <c r="D43" s="37"/>
      <c r="E43" s="37"/>
      <c r="F43" s="37"/>
    </row>
    <row r="44" spans="1:8" ht="15.75" customHeight="1">
      <c r="D44" s="37"/>
      <c r="E44" s="37"/>
      <c r="F44" s="37"/>
    </row>
    <row r="45" spans="1:8" ht="15.75" customHeight="1">
      <c r="D45" s="37"/>
      <c r="E45" s="37"/>
      <c r="F45" s="37"/>
    </row>
    <row r="46" spans="1:8" ht="15.75" customHeight="1">
      <c r="D46" s="37"/>
      <c r="E46" s="37"/>
      <c r="F46" s="37"/>
    </row>
    <row r="47" spans="1:8" ht="15.75" customHeight="1">
      <c r="D47" s="37"/>
      <c r="E47" s="37"/>
      <c r="F47" s="37"/>
    </row>
    <row r="48" spans="1:8" ht="15.75" customHeight="1">
      <c r="D48" s="37"/>
      <c r="E48" s="37"/>
      <c r="F48" s="37"/>
    </row>
    <row r="49" spans="4:6" ht="15.75" customHeight="1">
      <c r="D49" s="37"/>
      <c r="E49" s="37"/>
      <c r="F49" s="37"/>
    </row>
    <row r="50" spans="4:6" ht="15.75" customHeight="1">
      <c r="D50" s="37"/>
      <c r="E50" s="37"/>
      <c r="F50" s="37"/>
    </row>
    <row r="51" spans="4:6" ht="15.75" customHeight="1">
      <c r="D51" s="37"/>
      <c r="E51" s="37"/>
      <c r="F51" s="37"/>
    </row>
    <row r="52" spans="4:6" ht="15.75" customHeight="1">
      <c r="D52" s="37"/>
      <c r="E52" s="37"/>
      <c r="F52" s="37"/>
    </row>
    <row r="53" spans="4:6" ht="15.75" customHeight="1">
      <c r="D53" s="37"/>
      <c r="E53" s="37"/>
      <c r="F53" s="37"/>
    </row>
    <row r="54" spans="4:6" ht="15.75" customHeight="1">
      <c r="D54" s="37"/>
      <c r="E54" s="37"/>
      <c r="F54" s="37"/>
    </row>
    <row r="55" spans="4:6" ht="15.75" customHeight="1">
      <c r="D55" s="37"/>
      <c r="E55" s="37"/>
      <c r="F55" s="37"/>
    </row>
    <row r="56" spans="4:6" ht="15.75" customHeight="1">
      <c r="D56" s="37"/>
      <c r="E56" s="37"/>
      <c r="F56" s="37"/>
    </row>
    <row r="57" spans="4:6" ht="15.75" customHeight="1">
      <c r="D57" s="37"/>
      <c r="E57" s="37"/>
      <c r="F57" s="37"/>
    </row>
    <row r="58" spans="4:6" ht="15.75" customHeight="1">
      <c r="D58" s="37"/>
      <c r="E58" s="37"/>
      <c r="F58" s="37"/>
    </row>
    <row r="59" spans="4:6" ht="15.75" customHeight="1">
      <c r="D59" s="37"/>
      <c r="E59" s="37"/>
      <c r="F59" s="37"/>
    </row>
    <row r="60" spans="4:6" ht="15.75" customHeight="1">
      <c r="D60" s="37"/>
      <c r="E60" s="37"/>
      <c r="F60" s="37"/>
    </row>
    <row r="61" spans="4:6" ht="15.75" customHeight="1">
      <c r="D61" s="37"/>
      <c r="E61" s="37"/>
      <c r="F61" s="37"/>
    </row>
    <row r="62" spans="4:6" ht="15.75" customHeight="1">
      <c r="D62" s="37"/>
      <c r="E62" s="37"/>
      <c r="F62" s="37"/>
    </row>
    <row r="63" spans="4:6" ht="15.75" customHeight="1">
      <c r="D63" s="37"/>
      <c r="E63" s="37"/>
      <c r="F63" s="37"/>
    </row>
    <row r="64" spans="4:6" ht="15.75" customHeight="1">
      <c r="D64" s="37"/>
      <c r="E64" s="37"/>
      <c r="F64" s="37"/>
    </row>
    <row r="65" spans="4:6" ht="15.75" customHeight="1">
      <c r="D65" s="37"/>
      <c r="E65" s="37"/>
      <c r="F65" s="37"/>
    </row>
    <row r="66" spans="4:6" ht="15.75" customHeight="1">
      <c r="D66" s="37"/>
      <c r="E66" s="37"/>
      <c r="F66" s="37"/>
    </row>
    <row r="67" spans="4:6" ht="15.75" customHeight="1">
      <c r="D67" s="37"/>
      <c r="E67" s="37"/>
      <c r="F67" s="37"/>
    </row>
    <row r="68" spans="4:6" ht="15.75" customHeight="1">
      <c r="D68" s="37"/>
      <c r="E68" s="37"/>
      <c r="F68" s="37"/>
    </row>
    <row r="69" spans="4:6" ht="15.75" customHeight="1">
      <c r="D69" s="37"/>
      <c r="E69" s="37"/>
      <c r="F69" s="37"/>
    </row>
    <row r="70" spans="4:6" ht="15.75" customHeight="1">
      <c r="D70" s="37"/>
      <c r="E70" s="37"/>
      <c r="F70" s="37"/>
    </row>
    <row r="71" spans="4:6" ht="15.75" customHeight="1">
      <c r="D71" s="37"/>
      <c r="E71" s="37"/>
      <c r="F71" s="37"/>
    </row>
    <row r="72" spans="4:6" ht="15.75" customHeight="1">
      <c r="D72" s="37"/>
      <c r="E72" s="37"/>
      <c r="F72" s="37"/>
    </row>
    <row r="73" spans="4:6" ht="15.75" customHeight="1">
      <c r="D73" s="37"/>
      <c r="E73" s="37"/>
      <c r="F73" s="37"/>
    </row>
    <row r="74" spans="4:6" ht="15.75" customHeight="1">
      <c r="D74" s="37"/>
      <c r="E74" s="37"/>
      <c r="F74" s="37"/>
    </row>
    <row r="75" spans="4:6" ht="15.75" customHeight="1">
      <c r="D75" s="37"/>
      <c r="E75" s="37"/>
      <c r="F75" s="37"/>
    </row>
    <row r="76" spans="4:6" ht="15.75" customHeight="1">
      <c r="D76" s="37"/>
      <c r="E76" s="37"/>
      <c r="F76" s="37"/>
    </row>
    <row r="77" spans="4:6" ht="15.75" customHeight="1">
      <c r="D77" s="37"/>
      <c r="E77" s="37"/>
      <c r="F77" s="37"/>
    </row>
    <row r="78" spans="4:6" ht="15.75" customHeight="1">
      <c r="D78" s="37"/>
      <c r="E78" s="37"/>
      <c r="F78" s="37"/>
    </row>
    <row r="79" spans="4:6" ht="15.75" customHeight="1">
      <c r="D79" s="37"/>
      <c r="E79" s="37"/>
      <c r="F79" s="37"/>
    </row>
    <row r="80" spans="4:6" ht="15.75" customHeight="1">
      <c r="D80" s="37"/>
      <c r="E80" s="37"/>
      <c r="F80" s="37"/>
    </row>
    <row r="81" spans="4:6" ht="15.75" customHeight="1">
      <c r="D81" s="37"/>
      <c r="E81" s="37"/>
      <c r="F81" s="37"/>
    </row>
    <row r="82" spans="4:6" ht="15.75" customHeight="1">
      <c r="D82" s="37"/>
      <c r="E82" s="37"/>
      <c r="F82" s="37"/>
    </row>
    <row r="83" spans="4:6" ht="15.75" customHeight="1">
      <c r="D83" s="37"/>
      <c r="E83" s="37"/>
      <c r="F83" s="37"/>
    </row>
    <row r="84" spans="4:6" ht="15.75" customHeight="1">
      <c r="D84" s="37"/>
      <c r="E84" s="37"/>
      <c r="F84" s="37"/>
    </row>
    <row r="85" spans="4:6" ht="15.75" customHeight="1">
      <c r="D85" s="37"/>
      <c r="E85" s="37"/>
      <c r="F85" s="37"/>
    </row>
    <row r="86" spans="4:6" ht="15.75" customHeight="1">
      <c r="D86" s="37"/>
      <c r="E86" s="37"/>
      <c r="F86" s="37"/>
    </row>
    <row r="87" spans="4:6" ht="15.75" customHeight="1">
      <c r="D87" s="37"/>
      <c r="E87" s="37"/>
      <c r="F87" s="37"/>
    </row>
    <row r="88" spans="4:6" ht="15.75" customHeight="1">
      <c r="D88" s="37"/>
      <c r="E88" s="37"/>
      <c r="F88" s="37"/>
    </row>
    <row r="89" spans="4:6" ht="15.75" customHeight="1">
      <c r="D89" s="37"/>
      <c r="E89" s="37"/>
      <c r="F89" s="37"/>
    </row>
    <row r="90" spans="4:6" ht="15.75" customHeight="1">
      <c r="D90" s="37"/>
      <c r="E90" s="37"/>
      <c r="F90" s="37"/>
    </row>
    <row r="91" spans="4:6" ht="15.75" customHeight="1">
      <c r="D91" s="37"/>
      <c r="E91" s="37"/>
      <c r="F91" s="37"/>
    </row>
    <row r="92" spans="4:6" ht="15.75" customHeight="1">
      <c r="D92" s="37"/>
      <c r="E92" s="37"/>
      <c r="F92" s="37"/>
    </row>
    <row r="93" spans="4:6" ht="15.75" customHeight="1">
      <c r="D93" s="37"/>
      <c r="E93" s="37"/>
      <c r="F93" s="37"/>
    </row>
    <row r="94" spans="4:6" ht="15.75" customHeight="1">
      <c r="D94" s="37"/>
      <c r="E94" s="37"/>
      <c r="F94" s="37"/>
    </row>
    <row r="95" spans="4:6" ht="15.75" customHeight="1">
      <c r="D95" s="37"/>
      <c r="E95" s="37"/>
      <c r="F95" s="37"/>
    </row>
    <row r="96" spans="4:6" ht="15.75" customHeight="1">
      <c r="D96" s="37"/>
      <c r="E96" s="37"/>
      <c r="F96" s="37"/>
    </row>
    <row r="97" spans="4:6" ht="15.75" customHeight="1">
      <c r="D97" s="37"/>
      <c r="E97" s="37"/>
      <c r="F97" s="37"/>
    </row>
    <row r="98" spans="4:6" ht="15.75" customHeight="1">
      <c r="D98" s="37"/>
      <c r="E98" s="37"/>
      <c r="F98" s="37"/>
    </row>
    <row r="99" spans="4:6" ht="15.75" customHeight="1">
      <c r="D99" s="37"/>
      <c r="E99" s="37"/>
      <c r="F99" s="37"/>
    </row>
    <row r="100" spans="4:6" ht="15.75" customHeight="1">
      <c r="D100" s="37"/>
      <c r="E100" s="37"/>
      <c r="F100" s="37"/>
    </row>
    <row r="101" spans="4:6" ht="15.75" customHeight="1">
      <c r="D101" s="37"/>
      <c r="E101" s="37"/>
      <c r="F101" s="37"/>
    </row>
    <row r="102" spans="4:6" ht="15.75" customHeight="1">
      <c r="D102" s="37"/>
      <c r="E102" s="37"/>
      <c r="F102" s="37"/>
    </row>
    <row r="103" spans="4:6" ht="15.75" customHeight="1">
      <c r="D103" s="37"/>
      <c r="E103" s="37"/>
      <c r="F103" s="37"/>
    </row>
    <row r="104" spans="4:6" ht="15.75" customHeight="1">
      <c r="D104" s="37"/>
      <c r="E104" s="37"/>
      <c r="F104" s="37"/>
    </row>
    <row r="105" spans="4:6" ht="15.75" customHeight="1">
      <c r="D105" s="37"/>
      <c r="E105" s="37"/>
      <c r="F105" s="37"/>
    </row>
    <row r="106" spans="4:6" ht="15.75" customHeight="1">
      <c r="D106" s="37"/>
      <c r="E106" s="37"/>
      <c r="F106" s="37"/>
    </row>
    <row r="107" spans="4:6" ht="15.75" customHeight="1">
      <c r="D107" s="37"/>
      <c r="E107" s="37"/>
      <c r="F107" s="37"/>
    </row>
    <row r="108" spans="4:6" ht="15.75" customHeight="1">
      <c r="D108" s="37"/>
      <c r="E108" s="37"/>
      <c r="F108" s="37"/>
    </row>
    <row r="109" spans="4:6" ht="15.75" customHeight="1">
      <c r="D109" s="37"/>
      <c r="E109" s="37"/>
      <c r="F109" s="37"/>
    </row>
    <row r="110" spans="4:6" ht="15.75" customHeight="1">
      <c r="D110" s="37"/>
      <c r="E110" s="37"/>
      <c r="F110" s="37"/>
    </row>
    <row r="111" spans="4:6" ht="15.75" customHeight="1">
      <c r="D111" s="37"/>
      <c r="E111" s="37"/>
      <c r="F111" s="37"/>
    </row>
    <row r="112" spans="4:6" ht="15.75" customHeight="1">
      <c r="D112" s="37"/>
      <c r="E112" s="37"/>
      <c r="F112" s="37"/>
    </row>
    <row r="113" spans="4:6" ht="15.75" customHeight="1">
      <c r="D113" s="37"/>
      <c r="E113" s="37"/>
      <c r="F113" s="37"/>
    </row>
    <row r="114" spans="4:6" ht="15.75" customHeight="1">
      <c r="D114" s="37"/>
      <c r="E114" s="37"/>
      <c r="F114" s="37"/>
    </row>
    <row r="115" spans="4:6" ht="15.75" customHeight="1">
      <c r="D115" s="37"/>
      <c r="E115" s="37"/>
      <c r="F115" s="37"/>
    </row>
    <row r="116" spans="4:6" ht="15.75" customHeight="1">
      <c r="D116" s="37"/>
      <c r="E116" s="37"/>
      <c r="F116" s="37"/>
    </row>
    <row r="117" spans="4:6" ht="15.75" customHeight="1">
      <c r="D117" s="37"/>
      <c r="E117" s="37"/>
      <c r="F117" s="37"/>
    </row>
    <row r="118" spans="4:6" ht="15.75" customHeight="1">
      <c r="D118" s="37"/>
      <c r="E118" s="37"/>
      <c r="F118" s="37"/>
    </row>
    <row r="119" spans="4:6" ht="15.75" customHeight="1">
      <c r="D119" s="37"/>
      <c r="E119" s="37"/>
      <c r="F119" s="37"/>
    </row>
    <row r="120" spans="4:6" ht="15.75" customHeight="1">
      <c r="D120" s="37"/>
      <c r="E120" s="37"/>
      <c r="F120" s="37"/>
    </row>
    <row r="121" spans="4:6" ht="15.75" customHeight="1">
      <c r="D121" s="37"/>
      <c r="E121" s="37"/>
      <c r="F121" s="37"/>
    </row>
    <row r="122" spans="4:6" ht="15.75" customHeight="1">
      <c r="D122" s="37"/>
      <c r="E122" s="37"/>
      <c r="F122" s="37"/>
    </row>
    <row r="123" spans="4:6" ht="15.75" customHeight="1">
      <c r="D123" s="37"/>
      <c r="E123" s="37"/>
      <c r="F123" s="37"/>
    </row>
    <row r="124" spans="4:6" ht="15.75" customHeight="1">
      <c r="D124" s="37"/>
      <c r="E124" s="37"/>
      <c r="F124" s="37"/>
    </row>
    <row r="125" spans="4:6" ht="15.75" customHeight="1">
      <c r="D125" s="37"/>
      <c r="E125" s="37"/>
      <c r="F125" s="37"/>
    </row>
    <row r="126" spans="4:6" ht="15.75" customHeight="1">
      <c r="D126" s="37"/>
      <c r="E126" s="37"/>
      <c r="F126" s="37"/>
    </row>
    <row r="127" spans="4:6" ht="15.75" customHeight="1">
      <c r="D127" s="37"/>
      <c r="E127" s="37"/>
      <c r="F127" s="37"/>
    </row>
    <row r="128" spans="4:6" ht="15.75" customHeight="1">
      <c r="D128" s="37"/>
      <c r="E128" s="37"/>
      <c r="F128" s="37"/>
    </row>
    <row r="129" spans="4:6" ht="15.75" customHeight="1">
      <c r="D129" s="37"/>
      <c r="E129" s="37"/>
      <c r="F129" s="37"/>
    </row>
    <row r="130" spans="4:6" ht="15.75" customHeight="1">
      <c r="D130" s="37"/>
      <c r="E130" s="37"/>
      <c r="F130" s="37"/>
    </row>
    <row r="131" spans="4:6" ht="15.75" customHeight="1">
      <c r="D131" s="37"/>
      <c r="E131" s="37"/>
      <c r="F131" s="37"/>
    </row>
    <row r="132" spans="4:6" ht="15.75" customHeight="1">
      <c r="D132" s="37"/>
      <c r="E132" s="37"/>
      <c r="F132" s="37"/>
    </row>
    <row r="133" spans="4:6" ht="15.75" customHeight="1">
      <c r="D133" s="37"/>
      <c r="E133" s="37"/>
      <c r="F133" s="37"/>
    </row>
    <row r="134" spans="4:6" ht="15.75" customHeight="1">
      <c r="D134" s="37"/>
      <c r="E134" s="37"/>
      <c r="F134" s="37"/>
    </row>
    <row r="135" spans="4:6" ht="15.75" customHeight="1">
      <c r="D135" s="37"/>
      <c r="E135" s="37"/>
      <c r="F135" s="37"/>
    </row>
    <row r="136" spans="4:6" ht="15.75" customHeight="1">
      <c r="D136" s="37"/>
      <c r="E136" s="37"/>
      <c r="F136" s="37"/>
    </row>
    <row r="137" spans="4:6" ht="15.75" customHeight="1">
      <c r="D137" s="37"/>
      <c r="E137" s="37"/>
      <c r="F137" s="37"/>
    </row>
    <row r="138" spans="4:6" ht="15.75" customHeight="1">
      <c r="D138" s="37"/>
      <c r="E138" s="37"/>
      <c r="F138" s="37"/>
    </row>
    <row r="139" spans="4:6" ht="15.75" customHeight="1">
      <c r="D139" s="37"/>
      <c r="E139" s="37"/>
      <c r="F139" s="37"/>
    </row>
    <row r="140" spans="4:6" ht="15.75" customHeight="1">
      <c r="D140" s="37"/>
      <c r="E140" s="37"/>
      <c r="F140" s="37"/>
    </row>
    <row r="141" spans="4:6" ht="15.75" customHeight="1">
      <c r="D141" s="37"/>
      <c r="E141" s="37"/>
      <c r="F141" s="37"/>
    </row>
    <row r="142" spans="4:6" ht="15.75" customHeight="1">
      <c r="D142" s="37"/>
      <c r="E142" s="37"/>
      <c r="F142" s="37"/>
    </row>
    <row r="143" spans="4:6" ht="15.75" customHeight="1">
      <c r="D143" s="37"/>
      <c r="E143" s="37"/>
      <c r="F143" s="37"/>
    </row>
    <row r="144" spans="4:6" ht="15.75" customHeight="1">
      <c r="D144" s="37"/>
      <c r="E144" s="37"/>
      <c r="F144" s="37"/>
    </row>
    <row r="145" spans="4:6" ht="15.75" customHeight="1">
      <c r="D145" s="37"/>
      <c r="E145" s="37"/>
      <c r="F145" s="37"/>
    </row>
    <row r="146" spans="4:6" ht="15.75" customHeight="1">
      <c r="D146" s="37"/>
      <c r="E146" s="37"/>
      <c r="F146" s="37"/>
    </row>
    <row r="147" spans="4:6" ht="15.75" customHeight="1">
      <c r="D147" s="37"/>
      <c r="E147" s="37"/>
      <c r="F147" s="37"/>
    </row>
    <row r="148" spans="4:6" ht="15.75" customHeight="1">
      <c r="D148" s="37"/>
      <c r="E148" s="37"/>
      <c r="F148" s="37"/>
    </row>
    <row r="149" spans="4:6" ht="15.75" customHeight="1">
      <c r="D149" s="37"/>
      <c r="E149" s="37"/>
      <c r="F149" s="37"/>
    </row>
    <row r="150" spans="4:6" ht="15.75" customHeight="1">
      <c r="D150" s="37"/>
      <c r="E150" s="37"/>
      <c r="F150" s="37"/>
    </row>
    <row r="151" spans="4:6" ht="15.75" customHeight="1">
      <c r="D151" s="37"/>
      <c r="E151" s="37"/>
      <c r="F151" s="37"/>
    </row>
    <row r="152" spans="4:6" ht="15.75" customHeight="1">
      <c r="D152" s="37"/>
      <c r="E152" s="37"/>
      <c r="F152" s="37"/>
    </row>
    <row r="153" spans="4:6" ht="15.75" customHeight="1">
      <c r="D153" s="37"/>
      <c r="E153" s="37"/>
      <c r="F153" s="37"/>
    </row>
    <row r="154" spans="4:6" ht="15.75" customHeight="1">
      <c r="D154" s="37"/>
      <c r="E154" s="37"/>
      <c r="F154" s="37"/>
    </row>
    <row r="155" spans="4:6" ht="15.75" customHeight="1">
      <c r="D155" s="37"/>
      <c r="E155" s="37"/>
      <c r="F155" s="37"/>
    </row>
    <row r="156" spans="4:6" ht="15.75" customHeight="1">
      <c r="D156" s="37"/>
      <c r="E156" s="37"/>
      <c r="F156" s="37"/>
    </row>
    <row r="157" spans="4:6" ht="15.75" customHeight="1">
      <c r="D157" s="37"/>
      <c r="E157" s="37"/>
      <c r="F157" s="37"/>
    </row>
    <row r="158" spans="4:6" ht="15.75" customHeight="1">
      <c r="D158" s="37"/>
      <c r="E158" s="37"/>
      <c r="F158" s="37"/>
    </row>
    <row r="159" spans="4:6" ht="15.75" customHeight="1">
      <c r="D159" s="37"/>
      <c r="E159" s="37"/>
      <c r="F159" s="37"/>
    </row>
    <row r="160" spans="4:6" ht="15.75" customHeight="1">
      <c r="D160" s="37"/>
      <c r="E160" s="37"/>
      <c r="F160" s="37"/>
    </row>
    <row r="161" spans="4:6" ht="15.75" customHeight="1">
      <c r="D161" s="37"/>
      <c r="E161" s="37"/>
      <c r="F161" s="37"/>
    </row>
    <row r="162" spans="4:6" ht="15.75" customHeight="1">
      <c r="D162" s="37"/>
      <c r="E162" s="37"/>
      <c r="F162" s="37"/>
    </row>
    <row r="163" spans="4:6" ht="15.75" customHeight="1">
      <c r="D163" s="37"/>
      <c r="E163" s="37"/>
      <c r="F163" s="37"/>
    </row>
    <row r="164" spans="4:6" ht="15.75" customHeight="1">
      <c r="D164" s="37"/>
      <c r="E164" s="37"/>
      <c r="F164" s="37"/>
    </row>
    <row r="165" spans="4:6" ht="15.75" customHeight="1">
      <c r="D165" s="37"/>
      <c r="E165" s="37"/>
      <c r="F165" s="37"/>
    </row>
    <row r="166" spans="4:6" ht="15.75" customHeight="1">
      <c r="D166" s="37"/>
      <c r="E166" s="37"/>
      <c r="F166" s="37"/>
    </row>
    <row r="167" spans="4:6" ht="15.75" customHeight="1">
      <c r="D167" s="37"/>
      <c r="E167" s="37"/>
      <c r="F167" s="37"/>
    </row>
    <row r="168" spans="4:6" ht="15.75" customHeight="1">
      <c r="D168" s="37"/>
      <c r="E168" s="37"/>
      <c r="F168" s="37"/>
    </row>
    <row r="169" spans="4:6" ht="15.75" customHeight="1">
      <c r="D169" s="37"/>
      <c r="E169" s="37"/>
      <c r="F169" s="37"/>
    </row>
    <row r="170" spans="4:6" ht="15.75" customHeight="1">
      <c r="D170" s="37"/>
      <c r="E170" s="37"/>
      <c r="F170" s="37"/>
    </row>
    <row r="171" spans="4:6" ht="15.75" customHeight="1">
      <c r="D171" s="37"/>
      <c r="E171" s="37"/>
      <c r="F171" s="37"/>
    </row>
    <row r="172" spans="4:6" ht="15.75" customHeight="1">
      <c r="D172" s="37"/>
      <c r="E172" s="37"/>
      <c r="F172" s="37"/>
    </row>
    <row r="173" spans="4:6" ht="15.75" customHeight="1">
      <c r="D173" s="37"/>
      <c r="E173" s="37"/>
      <c r="F173" s="37"/>
    </row>
    <row r="174" spans="4:6" ht="15.75" customHeight="1">
      <c r="D174" s="37"/>
      <c r="E174" s="37"/>
      <c r="F174" s="37"/>
    </row>
    <row r="175" spans="4:6" ht="15.75" customHeight="1">
      <c r="D175" s="37"/>
      <c r="E175" s="37"/>
      <c r="F175" s="37"/>
    </row>
    <row r="176" spans="4:6" ht="15.75" customHeight="1">
      <c r="D176" s="37"/>
      <c r="E176" s="37"/>
      <c r="F176" s="37"/>
    </row>
    <row r="177" spans="4:6" ht="15.75" customHeight="1">
      <c r="D177" s="37"/>
      <c r="E177" s="37"/>
      <c r="F177" s="37"/>
    </row>
    <row r="178" spans="4:6" ht="15.75" customHeight="1">
      <c r="D178" s="37"/>
      <c r="E178" s="37"/>
      <c r="F178" s="37"/>
    </row>
    <row r="179" spans="4:6" ht="15.75" customHeight="1">
      <c r="D179" s="37"/>
      <c r="E179" s="37"/>
      <c r="F179" s="37"/>
    </row>
    <row r="180" spans="4:6" ht="15.75" customHeight="1">
      <c r="D180" s="37"/>
      <c r="E180" s="37"/>
      <c r="F180" s="37"/>
    </row>
    <row r="181" spans="4:6" ht="15.75" customHeight="1">
      <c r="D181" s="37"/>
      <c r="E181" s="37"/>
      <c r="F181" s="37"/>
    </row>
    <row r="182" spans="4:6" ht="15.75" customHeight="1">
      <c r="D182" s="37"/>
      <c r="E182" s="37"/>
      <c r="F182" s="37"/>
    </row>
    <row r="183" spans="4:6" ht="15.75" customHeight="1">
      <c r="D183" s="37"/>
      <c r="E183" s="37"/>
      <c r="F183" s="37"/>
    </row>
    <row r="184" spans="4:6" ht="15.75" customHeight="1">
      <c r="D184" s="37"/>
      <c r="E184" s="37"/>
      <c r="F184" s="37"/>
    </row>
    <row r="185" spans="4:6" ht="15.75" customHeight="1">
      <c r="D185" s="37"/>
      <c r="E185" s="37"/>
      <c r="F185" s="37"/>
    </row>
    <row r="186" spans="4:6" ht="15.75" customHeight="1">
      <c r="D186" s="37"/>
      <c r="E186" s="37"/>
      <c r="F186" s="37"/>
    </row>
    <row r="187" spans="4:6" ht="15.75" customHeight="1">
      <c r="D187" s="37"/>
      <c r="E187" s="37"/>
      <c r="F187" s="37"/>
    </row>
    <row r="188" spans="4:6" ht="15.75" customHeight="1">
      <c r="D188" s="37"/>
      <c r="E188" s="37"/>
      <c r="F188" s="37"/>
    </row>
    <row r="189" spans="4:6" ht="15.75" customHeight="1">
      <c r="D189" s="37"/>
      <c r="E189" s="37"/>
      <c r="F189" s="37"/>
    </row>
    <row r="190" spans="4:6" ht="15.75" customHeight="1">
      <c r="D190" s="37"/>
      <c r="E190" s="37"/>
      <c r="F190" s="37"/>
    </row>
    <row r="191" spans="4:6" ht="15.75" customHeight="1">
      <c r="D191" s="37"/>
      <c r="E191" s="37"/>
      <c r="F191" s="37"/>
    </row>
    <row r="192" spans="4:6" ht="15.75" customHeight="1">
      <c r="D192" s="37"/>
      <c r="E192" s="37"/>
      <c r="F192" s="37"/>
    </row>
    <row r="193" spans="4:6" ht="15.75" customHeight="1">
      <c r="D193" s="37"/>
      <c r="E193" s="37"/>
      <c r="F193" s="37"/>
    </row>
    <row r="194" spans="4:6" ht="15.75" customHeight="1">
      <c r="D194" s="37"/>
      <c r="E194" s="37"/>
      <c r="F194" s="37"/>
    </row>
    <row r="195" spans="4:6" ht="15.75" customHeight="1">
      <c r="D195" s="37"/>
      <c r="E195" s="37"/>
      <c r="F195" s="37"/>
    </row>
    <row r="196" spans="4:6" ht="15.75" customHeight="1">
      <c r="D196" s="37"/>
      <c r="E196" s="37"/>
      <c r="F196" s="37"/>
    </row>
    <row r="197" spans="4:6" ht="15.75" customHeight="1">
      <c r="D197" s="37"/>
      <c r="E197" s="37"/>
      <c r="F197" s="37"/>
    </row>
    <row r="198" spans="4:6" ht="15.75" customHeight="1">
      <c r="D198" s="37"/>
      <c r="E198" s="37"/>
      <c r="F198" s="37"/>
    </row>
    <row r="199" spans="4:6" ht="15.75" customHeight="1">
      <c r="D199" s="37"/>
      <c r="E199" s="37"/>
      <c r="F199" s="37"/>
    </row>
    <row r="200" spans="4:6" ht="15.75" customHeight="1">
      <c r="D200" s="37"/>
      <c r="E200" s="37"/>
      <c r="F200" s="37"/>
    </row>
    <row r="201" spans="4:6" ht="15.75" customHeight="1">
      <c r="D201" s="37"/>
      <c r="E201" s="37"/>
      <c r="F201" s="37"/>
    </row>
    <row r="202" spans="4:6" ht="15.75" customHeight="1">
      <c r="D202" s="37"/>
      <c r="E202" s="37"/>
      <c r="F202" s="37"/>
    </row>
    <row r="203" spans="4:6" ht="15.75" customHeight="1">
      <c r="D203" s="37"/>
      <c r="E203" s="37"/>
      <c r="F203" s="37"/>
    </row>
    <row r="204" spans="4:6" ht="15.75" customHeight="1">
      <c r="D204" s="37"/>
      <c r="E204" s="37"/>
      <c r="F204" s="37"/>
    </row>
    <row r="205" spans="4:6" ht="15.75" customHeight="1">
      <c r="D205" s="37"/>
      <c r="E205" s="37"/>
      <c r="F205" s="37"/>
    </row>
    <row r="206" spans="4:6" ht="15.75" customHeight="1">
      <c r="D206" s="37"/>
      <c r="E206" s="37"/>
      <c r="F206" s="37"/>
    </row>
    <row r="207" spans="4:6" ht="15.75" customHeight="1">
      <c r="D207" s="37"/>
      <c r="E207" s="37"/>
      <c r="F207" s="37"/>
    </row>
    <row r="208" spans="4:6" ht="15.75" customHeight="1">
      <c r="D208" s="37"/>
      <c r="E208" s="37"/>
      <c r="F208" s="37"/>
    </row>
    <row r="209" spans="4:6" ht="15.75" customHeight="1">
      <c r="D209" s="37"/>
      <c r="E209" s="37"/>
      <c r="F209" s="37"/>
    </row>
    <row r="210" spans="4:6" ht="15.75" customHeight="1">
      <c r="D210" s="37"/>
      <c r="E210" s="37"/>
      <c r="F210" s="37"/>
    </row>
    <row r="211" spans="4:6" ht="15.75" customHeight="1">
      <c r="D211" s="37"/>
      <c r="E211" s="37"/>
      <c r="F211" s="37"/>
    </row>
    <row r="212" spans="4:6" ht="15.75" customHeight="1">
      <c r="D212" s="37"/>
      <c r="E212" s="37"/>
      <c r="F212" s="37"/>
    </row>
    <row r="213" spans="4:6" ht="15.75" customHeight="1">
      <c r="D213" s="37"/>
      <c r="E213" s="37"/>
      <c r="F213" s="37"/>
    </row>
    <row r="214" spans="4:6" ht="15.75" customHeight="1">
      <c r="D214" s="37"/>
      <c r="E214" s="37"/>
      <c r="F214" s="37"/>
    </row>
    <row r="215" spans="4:6" ht="15.75" customHeight="1">
      <c r="D215" s="37"/>
      <c r="E215" s="37"/>
      <c r="F215" s="37"/>
    </row>
    <row r="216" spans="4:6" ht="15.75" customHeight="1">
      <c r="D216" s="37"/>
      <c r="E216" s="37"/>
      <c r="F216" s="37"/>
    </row>
    <row r="217" spans="4:6" ht="15.75" customHeight="1">
      <c r="D217" s="37"/>
      <c r="E217" s="37"/>
      <c r="F217" s="37"/>
    </row>
    <row r="218" spans="4:6" ht="15.75" customHeight="1">
      <c r="D218" s="37"/>
      <c r="E218" s="37"/>
      <c r="F218" s="37"/>
    </row>
    <row r="219" spans="4:6" ht="15.75" customHeight="1">
      <c r="D219" s="37"/>
      <c r="E219" s="37"/>
      <c r="F219" s="37"/>
    </row>
    <row r="220" spans="4:6" ht="15.75" customHeight="1">
      <c r="D220" s="37"/>
      <c r="E220" s="37"/>
      <c r="F220" s="37"/>
    </row>
    <row r="221" spans="4:6" ht="15.75" customHeight="1">
      <c r="D221" s="37"/>
      <c r="E221" s="37"/>
      <c r="F221" s="37"/>
    </row>
    <row r="222" spans="4:6" ht="15.75" customHeight="1">
      <c r="D222" s="37"/>
      <c r="E222" s="37"/>
      <c r="F222" s="37"/>
    </row>
    <row r="223" spans="4:6" ht="15.75" customHeight="1">
      <c r="D223" s="37"/>
      <c r="E223" s="37"/>
      <c r="F223" s="37"/>
    </row>
    <row r="224" spans="4:6" ht="15.75" customHeight="1">
      <c r="D224" s="37"/>
      <c r="E224" s="37"/>
      <c r="F224" s="37"/>
    </row>
    <row r="225" spans="4:6" ht="15.75" customHeight="1">
      <c r="D225" s="37"/>
      <c r="E225" s="37"/>
      <c r="F225" s="37"/>
    </row>
    <row r="226" spans="4:6" ht="15.75" customHeight="1">
      <c r="D226" s="37"/>
      <c r="E226" s="37"/>
      <c r="F226" s="37"/>
    </row>
    <row r="227" spans="4:6" ht="15.75" customHeight="1">
      <c r="D227" s="37"/>
      <c r="E227" s="37"/>
      <c r="F227" s="37"/>
    </row>
    <row r="228" spans="4:6" ht="15.75" customHeight="1">
      <c r="D228" s="37"/>
      <c r="E228" s="37"/>
      <c r="F228" s="37"/>
    </row>
    <row r="229" spans="4:6" ht="15.75" customHeight="1">
      <c r="D229" s="37"/>
      <c r="E229" s="37"/>
      <c r="F229" s="37"/>
    </row>
    <row r="230" spans="4:6" ht="15.75" customHeight="1">
      <c r="D230" s="37"/>
      <c r="E230" s="37"/>
      <c r="F230" s="37"/>
    </row>
    <row r="231" spans="4:6" ht="15.75" customHeight="1">
      <c r="D231" s="37"/>
      <c r="E231" s="37"/>
      <c r="F231" s="37"/>
    </row>
    <row r="232" spans="4:6" ht="15.75" customHeight="1">
      <c r="D232" s="37"/>
      <c r="E232" s="37"/>
      <c r="F232" s="37"/>
    </row>
    <row r="233" spans="4:6" ht="15.75" customHeight="1">
      <c r="D233" s="37"/>
      <c r="E233" s="37"/>
      <c r="F233" s="37"/>
    </row>
    <row r="234" spans="4:6" ht="15.75" customHeight="1">
      <c r="D234" s="37"/>
      <c r="E234" s="37"/>
      <c r="F234" s="37"/>
    </row>
    <row r="235" spans="4:6" ht="15.75" customHeight="1">
      <c r="D235" s="37"/>
      <c r="E235" s="37"/>
      <c r="F235" s="37"/>
    </row>
    <row r="236" spans="4:6" ht="15.75" customHeight="1">
      <c r="D236" s="37"/>
      <c r="E236" s="37"/>
      <c r="F236" s="37"/>
    </row>
    <row r="237" spans="4:6" ht="15.75" customHeight="1">
      <c r="D237" s="37"/>
      <c r="E237" s="37"/>
      <c r="F237" s="37"/>
    </row>
    <row r="238" spans="4:6" ht="15.75" customHeight="1">
      <c r="D238" s="37"/>
      <c r="E238" s="37"/>
      <c r="F238" s="37"/>
    </row>
    <row r="239" spans="4:6" ht="15.75" customHeight="1">
      <c r="D239" s="37"/>
      <c r="E239" s="37"/>
      <c r="F239" s="37"/>
    </row>
    <row r="240" spans="4: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39:H39"/>
    <mergeCell ref="A1:A3"/>
    <mergeCell ref="B1:G3"/>
    <mergeCell ref="B4:H4"/>
    <mergeCell ref="A5:H5"/>
    <mergeCell ref="A6:G6"/>
    <mergeCell ref="A33:C34"/>
    <mergeCell ref="H33:H35"/>
    <mergeCell ref="A35:C35"/>
    <mergeCell ref="D35:G35"/>
    <mergeCell ref="A36:H36"/>
    <mergeCell ref="A37:H37"/>
    <mergeCell ref="A38:H38"/>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CCCC"/>
  </sheetPr>
  <dimension ref="A1:AA1000"/>
  <sheetViews>
    <sheetView workbookViewId="0">
      <selection sqref="A1:B3"/>
    </sheetView>
  </sheetViews>
  <sheetFormatPr baseColWidth="10" defaultColWidth="14.42578125" defaultRowHeight="15" customHeight="1"/>
  <cols>
    <col min="1" max="1" width="21.7109375" customWidth="1"/>
    <col min="2" max="2" width="13.5703125" customWidth="1"/>
    <col min="3" max="3" width="8.42578125" customWidth="1"/>
    <col min="4" max="4" width="16.28515625" customWidth="1"/>
    <col min="5" max="5" width="16.85546875" customWidth="1"/>
    <col min="6" max="7" width="17.5703125" customWidth="1"/>
    <col min="8" max="8" width="17.7109375" customWidth="1"/>
    <col min="9" max="9" width="24" customWidth="1"/>
    <col min="10" max="10" width="21.42578125" customWidth="1"/>
    <col min="12" max="27" width="8" customWidth="1"/>
  </cols>
  <sheetData>
    <row r="1" spans="1:27" ht="21" customHeight="1">
      <c r="A1" s="127"/>
      <c r="B1" s="128"/>
      <c r="C1" s="129" t="s">
        <v>0</v>
      </c>
      <c r="D1" s="130"/>
      <c r="E1" s="130"/>
      <c r="F1" s="130"/>
      <c r="G1" s="130"/>
      <c r="H1" s="130"/>
      <c r="I1" s="131"/>
      <c r="J1" s="137" t="s">
        <v>1</v>
      </c>
      <c r="K1" s="138"/>
    </row>
    <row r="2" spans="1:27" ht="21" customHeight="1">
      <c r="A2" s="128"/>
      <c r="B2" s="128"/>
      <c r="C2" s="132"/>
      <c r="D2" s="128"/>
      <c r="E2" s="128"/>
      <c r="F2" s="128"/>
      <c r="G2" s="128"/>
      <c r="H2" s="128"/>
      <c r="I2" s="133"/>
      <c r="J2" s="137" t="s">
        <v>2</v>
      </c>
      <c r="K2" s="138"/>
    </row>
    <row r="3" spans="1:27" ht="21" customHeight="1">
      <c r="A3" s="128"/>
      <c r="B3" s="128"/>
      <c r="C3" s="134"/>
      <c r="D3" s="135"/>
      <c r="E3" s="135"/>
      <c r="F3" s="135"/>
      <c r="G3" s="135"/>
      <c r="H3" s="135"/>
      <c r="I3" s="136"/>
      <c r="J3" s="137" t="s">
        <v>3</v>
      </c>
      <c r="K3" s="138"/>
    </row>
    <row r="4" spans="1:27" ht="26.25" customHeight="1">
      <c r="A4" s="1" t="s">
        <v>4</v>
      </c>
      <c r="B4" s="139" t="s">
        <v>5</v>
      </c>
      <c r="C4" s="140"/>
      <c r="D4" s="140"/>
      <c r="E4" s="140"/>
      <c r="F4" s="140"/>
      <c r="G4" s="140"/>
      <c r="H4" s="140"/>
      <c r="I4" s="140"/>
      <c r="J4" s="140"/>
      <c r="K4" s="138"/>
      <c r="L4" s="90"/>
      <c r="M4" s="90"/>
      <c r="N4" s="90"/>
      <c r="O4" s="90"/>
      <c r="P4" s="90"/>
      <c r="Q4" s="90"/>
      <c r="R4" s="90"/>
      <c r="S4" s="90"/>
      <c r="T4" s="90"/>
      <c r="U4" s="90"/>
      <c r="V4" s="90"/>
      <c r="W4" s="90"/>
      <c r="X4" s="90"/>
      <c r="Y4" s="90"/>
      <c r="Z4" s="90"/>
      <c r="AA4" s="90"/>
    </row>
    <row r="5" spans="1:27" ht="26.25" customHeight="1">
      <c r="A5" s="141" t="s">
        <v>6</v>
      </c>
      <c r="B5" s="140"/>
      <c r="C5" s="140"/>
      <c r="D5" s="140"/>
      <c r="E5" s="140"/>
      <c r="F5" s="140"/>
      <c r="G5" s="140"/>
      <c r="H5" s="140"/>
      <c r="I5" s="140"/>
      <c r="J5" s="140"/>
      <c r="K5" s="138"/>
      <c r="L5" s="90"/>
      <c r="M5" s="90"/>
      <c r="N5" s="90"/>
      <c r="O5" s="90"/>
      <c r="P5" s="90"/>
      <c r="Q5" s="90"/>
      <c r="R5" s="90"/>
      <c r="S5" s="90"/>
      <c r="T5" s="90"/>
      <c r="U5" s="90"/>
      <c r="V5" s="90"/>
      <c r="W5" s="90"/>
      <c r="X5" s="90"/>
      <c r="Y5" s="90"/>
      <c r="Z5" s="90"/>
      <c r="AA5" s="90"/>
    </row>
    <row r="6" spans="1:27" ht="26.25" customHeight="1">
      <c r="A6" s="141" t="s">
        <v>7</v>
      </c>
      <c r="B6" s="140"/>
      <c r="C6" s="140"/>
      <c r="D6" s="140"/>
      <c r="E6" s="140"/>
      <c r="F6" s="140"/>
      <c r="G6" s="140"/>
      <c r="H6" s="138"/>
      <c r="I6" s="2" t="s">
        <v>8</v>
      </c>
      <c r="J6" s="2" t="s">
        <v>9</v>
      </c>
      <c r="K6" s="3" t="s">
        <v>10</v>
      </c>
      <c r="L6" s="90"/>
      <c r="M6" s="90"/>
      <c r="N6" s="90"/>
      <c r="O6" s="90"/>
      <c r="P6" s="90"/>
      <c r="Q6" s="90"/>
      <c r="R6" s="90"/>
      <c r="S6" s="90"/>
      <c r="T6" s="90"/>
      <c r="U6" s="90"/>
      <c r="V6" s="90"/>
      <c r="W6" s="90"/>
      <c r="X6" s="90"/>
      <c r="Y6" s="90"/>
      <c r="Z6" s="90"/>
      <c r="AA6" s="90"/>
    </row>
    <row r="7" spans="1:27" ht="37.5" customHeight="1">
      <c r="A7" s="91" t="s">
        <v>11</v>
      </c>
      <c r="B7" s="91" t="s">
        <v>12</v>
      </c>
      <c r="C7" s="91" t="s">
        <v>13</v>
      </c>
      <c r="D7" s="91" t="s">
        <v>14</v>
      </c>
      <c r="E7" s="91" t="s">
        <v>15</v>
      </c>
      <c r="F7" s="91" t="s">
        <v>16</v>
      </c>
      <c r="G7" s="91" t="s">
        <v>17</v>
      </c>
      <c r="H7" s="91" t="s">
        <v>18</v>
      </c>
      <c r="I7" s="91" t="s">
        <v>19</v>
      </c>
      <c r="J7" s="92" t="s">
        <v>20</v>
      </c>
      <c r="K7" s="93" t="s">
        <v>21</v>
      </c>
    </row>
    <row r="8" spans="1:27">
      <c r="A8" s="94"/>
      <c r="B8" s="68"/>
      <c r="C8" s="14"/>
      <c r="D8" s="14"/>
      <c r="E8" s="14"/>
      <c r="F8" s="14"/>
      <c r="G8" s="14"/>
      <c r="H8" s="14"/>
      <c r="I8" s="14"/>
      <c r="J8" s="9"/>
      <c r="K8" s="10"/>
    </row>
    <row r="9" spans="1:27">
      <c r="A9" s="94"/>
      <c r="B9" s="68"/>
      <c r="C9" s="14"/>
      <c r="D9" s="14"/>
      <c r="E9" s="14"/>
      <c r="F9" s="14"/>
      <c r="G9" s="14"/>
      <c r="H9" s="14"/>
      <c r="I9" s="14"/>
      <c r="J9" s="9"/>
      <c r="K9" s="10"/>
    </row>
    <row r="10" spans="1:27">
      <c r="A10" s="94"/>
      <c r="B10" s="68"/>
      <c r="C10" s="14"/>
      <c r="D10" s="14"/>
      <c r="E10" s="14"/>
      <c r="F10" s="14"/>
      <c r="G10" s="14"/>
      <c r="H10" s="14"/>
      <c r="I10" s="14"/>
      <c r="J10" s="81"/>
      <c r="K10" s="10"/>
    </row>
    <row r="11" spans="1:27">
      <c r="A11" s="94"/>
      <c r="B11" s="68"/>
      <c r="C11" s="14"/>
      <c r="D11" s="14"/>
      <c r="E11" s="14"/>
      <c r="F11" s="14"/>
      <c r="G11" s="14"/>
      <c r="H11" s="14"/>
      <c r="I11" s="14"/>
      <c r="J11" s="9"/>
      <c r="K11" s="10"/>
    </row>
    <row r="12" spans="1:27">
      <c r="A12" s="94"/>
      <c r="B12" s="68"/>
      <c r="C12" s="14"/>
      <c r="D12" s="14"/>
      <c r="E12" s="14"/>
      <c r="F12" s="14"/>
      <c r="G12" s="14"/>
      <c r="H12" s="14"/>
      <c r="I12" s="14"/>
      <c r="J12" s="9"/>
      <c r="K12" s="10"/>
      <c r="L12" s="95"/>
      <c r="M12" s="96"/>
      <c r="N12" s="97"/>
    </row>
    <row r="13" spans="1:27">
      <c r="A13" s="94"/>
      <c r="B13" s="68"/>
      <c r="C13" s="14"/>
      <c r="D13" s="14"/>
      <c r="E13" s="14"/>
      <c r="F13" s="14"/>
      <c r="G13" s="14"/>
      <c r="H13" s="14"/>
      <c r="I13" s="14"/>
      <c r="J13" s="9"/>
      <c r="K13" s="10"/>
      <c r="L13" s="95"/>
      <c r="M13" s="98"/>
      <c r="N13" s="97"/>
    </row>
    <row r="14" spans="1:27">
      <c r="A14" s="94"/>
      <c r="B14" s="68"/>
      <c r="C14" s="14"/>
      <c r="D14" s="14"/>
      <c r="E14" s="14"/>
      <c r="F14" s="14"/>
      <c r="G14" s="14"/>
      <c r="H14" s="14"/>
      <c r="I14" s="14"/>
      <c r="J14" s="9"/>
      <c r="K14" s="10"/>
      <c r="L14" s="95"/>
      <c r="M14" s="97"/>
      <c r="N14" s="97"/>
    </row>
    <row r="15" spans="1:27">
      <c r="A15" s="94"/>
      <c r="B15" s="68"/>
      <c r="C15" s="14"/>
      <c r="D15" s="14"/>
      <c r="E15" s="14"/>
      <c r="F15" s="14"/>
      <c r="G15" s="14"/>
      <c r="H15" s="14"/>
      <c r="I15" s="14"/>
      <c r="J15" s="9"/>
      <c r="K15" s="45"/>
      <c r="L15" s="95"/>
      <c r="M15" s="97"/>
      <c r="N15" s="97"/>
    </row>
    <row r="16" spans="1:27">
      <c r="A16" s="94"/>
      <c r="B16" s="68"/>
      <c r="C16" s="14"/>
      <c r="D16" s="14"/>
      <c r="E16" s="14"/>
      <c r="F16" s="14"/>
      <c r="G16" s="14"/>
      <c r="H16" s="14"/>
      <c r="I16" s="14"/>
      <c r="J16" s="9"/>
      <c r="K16" s="10"/>
      <c r="L16" s="95"/>
      <c r="M16" s="97"/>
      <c r="N16" s="97"/>
    </row>
    <row r="17" spans="1:14">
      <c r="A17" s="94"/>
      <c r="B17" s="68"/>
      <c r="C17" s="14"/>
      <c r="D17" s="14"/>
      <c r="E17" s="14"/>
      <c r="F17" s="14"/>
      <c r="G17" s="14"/>
      <c r="H17" s="14"/>
      <c r="I17" s="99"/>
      <c r="K17" s="10"/>
      <c r="L17" s="95"/>
      <c r="M17" s="97"/>
      <c r="N17" s="97"/>
    </row>
    <row r="18" spans="1:14">
      <c r="A18" s="94"/>
      <c r="B18" s="68"/>
      <c r="C18" s="14"/>
      <c r="D18" s="14"/>
      <c r="E18" s="14"/>
      <c r="F18" s="14"/>
      <c r="G18" s="14"/>
      <c r="H18" s="14"/>
      <c r="I18" s="99"/>
      <c r="J18" s="9"/>
      <c r="K18" s="10"/>
      <c r="L18" s="95"/>
      <c r="M18" s="97"/>
      <c r="N18" s="97"/>
    </row>
    <row r="19" spans="1:14" ht="15.75" customHeight="1">
      <c r="A19" s="94"/>
      <c r="B19" s="68"/>
      <c r="C19" s="14"/>
      <c r="D19" s="14"/>
      <c r="E19" s="14"/>
      <c r="F19" s="14"/>
      <c r="G19" s="14"/>
      <c r="H19" s="14"/>
      <c r="I19" s="99"/>
      <c r="J19" s="9"/>
      <c r="K19" s="10"/>
      <c r="L19" s="95"/>
      <c r="M19" s="97"/>
      <c r="N19" s="97"/>
    </row>
    <row r="20" spans="1:14" ht="15.75" customHeight="1">
      <c r="A20" s="94"/>
      <c r="B20" s="68"/>
      <c r="C20" s="14"/>
      <c r="D20" s="14"/>
      <c r="E20" s="14"/>
      <c r="F20" s="14"/>
      <c r="G20" s="14"/>
      <c r="H20" s="14"/>
      <c r="I20" s="99"/>
      <c r="J20" s="9"/>
      <c r="K20" s="10"/>
      <c r="L20" s="95"/>
      <c r="M20" s="97"/>
      <c r="N20" s="97"/>
    </row>
    <row r="21" spans="1:14" ht="15.75" customHeight="1">
      <c r="A21" s="94"/>
      <c r="B21" s="68"/>
      <c r="C21" s="14"/>
      <c r="D21" s="14"/>
      <c r="E21" s="14"/>
      <c r="F21" s="14"/>
      <c r="G21" s="14"/>
      <c r="H21" s="14"/>
      <c r="I21" s="99"/>
      <c r="J21" s="10"/>
      <c r="K21" s="10"/>
      <c r="L21" s="95"/>
      <c r="M21" s="97"/>
      <c r="N21" s="97"/>
    </row>
    <row r="22" spans="1:14" ht="15.75" customHeight="1">
      <c r="A22" s="94"/>
      <c r="B22" s="68"/>
      <c r="C22" s="14"/>
      <c r="D22" s="14"/>
      <c r="E22" s="14"/>
      <c r="F22" s="14"/>
      <c r="G22" s="14"/>
      <c r="H22" s="14"/>
      <c r="I22" s="99"/>
      <c r="J22" s="10"/>
      <c r="K22" s="10"/>
      <c r="L22" s="95"/>
      <c r="M22" s="97"/>
      <c r="N22" s="97"/>
    </row>
    <row r="23" spans="1:14" ht="15.75" customHeight="1">
      <c r="A23" s="94"/>
      <c r="B23" s="68"/>
      <c r="C23" s="14"/>
      <c r="D23" s="14"/>
      <c r="E23" s="14"/>
      <c r="F23" s="14"/>
      <c r="G23" s="14"/>
      <c r="H23" s="14"/>
      <c r="I23" s="99"/>
      <c r="J23" s="10"/>
      <c r="K23" s="10"/>
      <c r="L23" s="95"/>
      <c r="M23" s="97"/>
      <c r="N23" s="97"/>
    </row>
    <row r="24" spans="1:14" ht="15.75" customHeight="1">
      <c r="A24" s="94"/>
      <c r="B24" s="68"/>
      <c r="C24" s="14"/>
      <c r="D24" s="14"/>
      <c r="E24" s="14"/>
      <c r="F24" s="14"/>
      <c r="G24" s="14"/>
      <c r="H24" s="14"/>
      <c r="I24" s="100"/>
      <c r="J24" s="10"/>
      <c r="K24" s="10"/>
      <c r="L24" s="95"/>
      <c r="M24" s="97"/>
      <c r="N24" s="97"/>
    </row>
    <row r="25" spans="1:14" ht="15.75" customHeight="1">
      <c r="A25" s="101"/>
      <c r="B25" s="68"/>
      <c r="C25" s="14"/>
      <c r="D25" s="14"/>
      <c r="E25" s="14"/>
      <c r="F25" s="14"/>
      <c r="G25" s="14"/>
      <c r="H25" s="14"/>
      <c r="I25" s="99"/>
      <c r="J25" s="10"/>
      <c r="K25" s="10"/>
      <c r="L25" s="95"/>
      <c r="M25" s="97"/>
      <c r="N25" s="97"/>
    </row>
    <row r="26" spans="1:14" ht="15.75" customHeight="1">
      <c r="A26" s="101"/>
      <c r="B26" s="68"/>
      <c r="C26" s="14"/>
      <c r="D26" s="14"/>
      <c r="E26" s="14"/>
      <c r="F26" s="14"/>
      <c r="G26" s="14"/>
      <c r="H26" s="14"/>
      <c r="I26" s="99"/>
      <c r="J26" s="10"/>
      <c r="L26" s="95"/>
      <c r="M26" s="97"/>
      <c r="N26" s="97"/>
    </row>
    <row r="27" spans="1:14" ht="15.75" customHeight="1">
      <c r="A27" s="101"/>
      <c r="B27" s="68"/>
      <c r="C27" s="14"/>
      <c r="D27" s="14"/>
      <c r="E27" s="14"/>
      <c r="F27" s="14"/>
      <c r="G27" s="14"/>
      <c r="H27" s="14"/>
      <c r="I27" s="99"/>
      <c r="J27" s="10"/>
      <c r="L27" s="95"/>
      <c r="M27" s="97"/>
      <c r="N27" s="97"/>
    </row>
    <row r="28" spans="1:14" ht="15.75" customHeight="1">
      <c r="A28" s="101"/>
      <c r="B28" s="68"/>
      <c r="C28" s="14"/>
      <c r="D28" s="14"/>
      <c r="E28" s="14"/>
      <c r="F28" s="14"/>
      <c r="G28" s="14"/>
      <c r="H28" s="14"/>
      <c r="I28" s="99"/>
      <c r="J28" s="10"/>
      <c r="L28" s="95"/>
      <c r="M28" s="97"/>
      <c r="N28" s="97"/>
    </row>
    <row r="29" spans="1:14" ht="15.75" customHeight="1">
      <c r="A29" s="101"/>
      <c r="B29" s="68"/>
      <c r="C29" s="14"/>
      <c r="D29" s="14"/>
      <c r="E29" s="14"/>
      <c r="F29" s="14"/>
      <c r="G29" s="14"/>
      <c r="H29" s="14"/>
      <c r="I29" s="99"/>
      <c r="J29" s="10"/>
      <c r="L29" s="95"/>
      <c r="M29" s="97"/>
      <c r="N29" s="97"/>
    </row>
    <row r="30" spans="1:14" ht="15.75" customHeight="1">
      <c r="A30" s="101"/>
      <c r="B30" s="68"/>
      <c r="C30" s="14"/>
      <c r="D30" s="14"/>
      <c r="E30" s="14"/>
      <c r="F30" s="14"/>
      <c r="G30" s="14"/>
      <c r="H30" s="14"/>
      <c r="I30" s="99"/>
      <c r="J30" s="10"/>
      <c r="L30" s="95"/>
      <c r="M30" s="97"/>
      <c r="N30" s="97"/>
    </row>
    <row r="31" spans="1:14" ht="15.75" customHeight="1">
      <c r="A31" s="101"/>
      <c r="B31" s="68"/>
      <c r="C31" s="14"/>
      <c r="D31" s="14"/>
      <c r="E31" s="14"/>
      <c r="F31" s="14"/>
      <c r="G31" s="14"/>
      <c r="H31" s="14"/>
      <c r="I31" s="99"/>
      <c r="J31" s="10"/>
      <c r="L31" s="95"/>
      <c r="M31" s="97"/>
      <c r="N31" s="97"/>
    </row>
    <row r="32" spans="1:14" ht="15.75" customHeight="1">
      <c r="A32" s="101"/>
      <c r="B32" s="68"/>
      <c r="C32" s="14"/>
      <c r="D32" s="14"/>
      <c r="E32" s="14"/>
      <c r="F32" s="14"/>
      <c r="G32" s="14"/>
      <c r="H32" s="14"/>
      <c r="I32" s="99"/>
      <c r="J32" s="10"/>
      <c r="L32" s="95"/>
      <c r="M32" s="97"/>
      <c r="N32" s="97"/>
    </row>
    <row r="33" spans="1:27" ht="15.75" customHeight="1">
      <c r="A33" s="8"/>
      <c r="B33" s="9"/>
      <c r="C33" s="9"/>
      <c r="D33" s="9"/>
      <c r="E33" s="9"/>
      <c r="F33" s="9"/>
      <c r="G33" s="9"/>
      <c r="H33" s="9"/>
      <c r="I33" s="10"/>
      <c r="J33" s="10"/>
      <c r="K33" s="37"/>
      <c r="L33" s="37"/>
      <c r="M33" s="37"/>
      <c r="N33" s="37"/>
      <c r="O33" s="37"/>
      <c r="P33" s="37"/>
      <c r="Q33" s="37"/>
      <c r="R33" s="37"/>
      <c r="S33" s="37"/>
      <c r="T33" s="37"/>
      <c r="U33" s="37"/>
      <c r="V33" s="37"/>
      <c r="W33" s="37"/>
      <c r="X33" s="37"/>
      <c r="Y33" s="37"/>
      <c r="Z33" s="37"/>
      <c r="AA33" s="37"/>
    </row>
    <row r="34" spans="1:27" ht="15.75" customHeight="1">
      <c r="A34" s="8"/>
      <c r="B34" s="9"/>
      <c r="C34" s="9"/>
      <c r="D34" s="9"/>
      <c r="E34" s="9"/>
      <c r="F34" s="9"/>
      <c r="G34" s="9"/>
      <c r="H34" s="9"/>
      <c r="I34" s="10"/>
      <c r="J34" s="10"/>
      <c r="K34" s="37"/>
      <c r="L34" s="37"/>
      <c r="M34" s="37"/>
      <c r="N34" s="37"/>
      <c r="O34" s="37"/>
      <c r="P34" s="37"/>
      <c r="Q34" s="37"/>
      <c r="R34" s="37"/>
      <c r="S34" s="37"/>
      <c r="T34" s="37"/>
      <c r="U34" s="37"/>
      <c r="V34" s="37"/>
      <c r="W34" s="37"/>
      <c r="X34" s="37"/>
      <c r="Y34" s="37"/>
      <c r="Z34" s="37"/>
      <c r="AA34" s="37"/>
    </row>
    <row r="35" spans="1:27" ht="15.75" customHeight="1">
      <c r="A35" s="102"/>
      <c r="B35" s="59"/>
      <c r="C35" s="103"/>
      <c r="D35" s="104"/>
      <c r="E35" s="104"/>
      <c r="F35" s="104"/>
      <c r="G35" s="104"/>
      <c r="H35" s="104"/>
      <c r="I35" s="88"/>
      <c r="J35" s="10"/>
    </row>
    <row r="36" spans="1:27" ht="15.75" customHeight="1">
      <c r="A36" s="150">
        <f>SUM(C8:C35)</f>
        <v>0</v>
      </c>
      <c r="B36" s="130"/>
      <c r="C36" s="131"/>
      <c r="D36" s="29">
        <f t="shared" ref="D36:E36" si="0">(COUNTIF(D8:D35,"SI")*1+COUNTIF(D8:D35,"NO")*0+COUNTIF(D8:D35,"NA")*0)</f>
        <v>0</v>
      </c>
      <c r="E36" s="29">
        <f t="shared" si="0"/>
        <v>0</v>
      </c>
      <c r="F36" s="29">
        <f>(COUNTIF(F8:F35,"SI")*1+COUNTIF(G32,"NO")*0+COUNTIF(F8:F35,"NA")*0)</f>
        <v>0</v>
      </c>
      <c r="G36" s="29">
        <f>(COUNTIF(G8:G35,"SI")*1+COUNTIF(G33:G35,"NO")*0+COUNTIF(G8:G35,"NA")*0)</f>
        <v>0</v>
      </c>
      <c r="H36" s="105">
        <f>(COUNTIF(H8:H35,"SI")*1+COUNTIF(H8:H35,"NO")*0-COUNTIF(H8:H35,"NA")*0)</f>
        <v>0</v>
      </c>
      <c r="I36" s="175" t="s">
        <v>25</v>
      </c>
      <c r="J36" s="131"/>
    </row>
    <row r="37" spans="1:27" ht="15.75" customHeight="1">
      <c r="A37" s="132"/>
      <c r="B37" s="128"/>
      <c r="C37" s="133"/>
      <c r="D37" s="34" t="e">
        <f>(D36/A36)</f>
        <v>#DIV/0!</v>
      </c>
      <c r="E37" s="34" t="e">
        <f>(E36/A36)</f>
        <v>#DIV/0!</v>
      </c>
      <c r="F37" s="34" t="e">
        <f>(F36/A36)</f>
        <v>#DIV/0!</v>
      </c>
      <c r="G37" s="34" t="e">
        <f>(G36/A36)</f>
        <v>#DIV/0!</v>
      </c>
      <c r="H37" s="34" t="e">
        <f>(H36/A36)</f>
        <v>#DIV/0!</v>
      </c>
      <c r="I37" s="35"/>
      <c r="J37" s="36"/>
    </row>
    <row r="38" spans="1:27" ht="15.75" customHeight="1">
      <c r="A38" s="145" t="s">
        <v>26</v>
      </c>
      <c r="B38" s="140"/>
      <c r="C38" s="138"/>
      <c r="D38" s="146" t="e">
        <f>SUM(D37+E37+F37+G37+H37)/5</f>
        <v>#DIV/0!</v>
      </c>
      <c r="E38" s="140"/>
      <c r="F38" s="140"/>
      <c r="G38" s="140"/>
      <c r="H38" s="140"/>
      <c r="I38" s="140"/>
      <c r="J38" s="138"/>
    </row>
    <row r="39" spans="1:27" ht="15.75" customHeight="1">
      <c r="A39" s="147" t="s">
        <v>73</v>
      </c>
      <c r="B39" s="140"/>
      <c r="C39" s="140"/>
      <c r="D39" s="140"/>
      <c r="E39" s="140"/>
      <c r="F39" s="140"/>
      <c r="G39" s="140"/>
      <c r="H39" s="140"/>
      <c r="I39" s="140"/>
      <c r="J39" s="138"/>
    </row>
    <row r="40" spans="1:27" ht="15.75" customHeight="1">
      <c r="A40" s="142" t="s">
        <v>28</v>
      </c>
      <c r="B40" s="140"/>
      <c r="C40" s="140"/>
      <c r="D40" s="140"/>
      <c r="E40" s="140"/>
      <c r="F40" s="140"/>
      <c r="G40" s="140"/>
      <c r="H40" s="140"/>
      <c r="I40" s="140"/>
      <c r="J40" s="138"/>
    </row>
    <row r="41" spans="1:27" ht="15.75" customHeight="1">
      <c r="A41" s="147" t="s">
        <v>74</v>
      </c>
      <c r="B41" s="140"/>
      <c r="C41" s="140"/>
      <c r="D41" s="140"/>
      <c r="E41" s="140"/>
      <c r="F41" s="140"/>
      <c r="G41" s="140"/>
      <c r="H41" s="140"/>
      <c r="I41" s="140"/>
      <c r="J41" s="138"/>
    </row>
    <row r="42" spans="1:27" ht="15.75" customHeight="1">
      <c r="A42" s="142" t="s">
        <v>30</v>
      </c>
      <c r="B42" s="140"/>
      <c r="C42" s="140"/>
      <c r="D42" s="140"/>
      <c r="E42" s="140"/>
      <c r="F42" s="140"/>
      <c r="G42" s="140"/>
      <c r="H42" s="140"/>
      <c r="I42" s="140"/>
      <c r="J42" s="138"/>
    </row>
    <row r="43" spans="1:27" ht="15.75" customHeight="1">
      <c r="A43" s="142" t="s">
        <v>75</v>
      </c>
      <c r="B43" s="140"/>
      <c r="C43" s="140"/>
      <c r="D43" s="140"/>
      <c r="E43" s="140"/>
      <c r="F43" s="140"/>
      <c r="G43" s="140"/>
      <c r="H43" s="140"/>
      <c r="I43" s="140"/>
      <c r="J43" s="138"/>
    </row>
    <row r="44" spans="1:27" ht="15.75" customHeight="1">
      <c r="A44" s="81"/>
      <c r="B44" s="81"/>
      <c r="D44" s="37"/>
      <c r="E44" s="37"/>
      <c r="F44" s="37"/>
      <c r="G44" s="37"/>
      <c r="H44" s="37"/>
    </row>
    <row r="45" spans="1:27" ht="15.75" customHeight="1">
      <c r="A45" s="81"/>
      <c r="B45" s="81"/>
      <c r="D45" s="37"/>
      <c r="E45" s="37"/>
      <c r="F45" s="37"/>
      <c r="G45" s="37"/>
      <c r="H45" s="37"/>
    </row>
    <row r="46" spans="1:27" ht="15.75" customHeight="1">
      <c r="A46" s="81"/>
      <c r="B46" s="81"/>
      <c r="D46" s="37"/>
      <c r="E46" s="37"/>
      <c r="F46" s="37"/>
      <c r="G46" s="37"/>
      <c r="H46" s="37"/>
    </row>
    <row r="47" spans="1:27" ht="15.75" customHeight="1">
      <c r="A47" s="81"/>
      <c r="B47" s="81"/>
      <c r="D47" s="37"/>
      <c r="E47" s="37"/>
      <c r="F47" s="37"/>
      <c r="G47" s="37"/>
      <c r="H47" s="37"/>
    </row>
    <row r="48" spans="1:27" ht="15.75" customHeight="1">
      <c r="A48" s="81"/>
      <c r="B48" s="81"/>
      <c r="D48" s="37"/>
      <c r="E48" s="37"/>
      <c r="F48" s="37"/>
      <c r="G48" s="37"/>
      <c r="H48" s="37"/>
    </row>
    <row r="49" spans="1:8" ht="15.75" customHeight="1">
      <c r="A49" s="81"/>
      <c r="B49" s="81"/>
      <c r="D49" s="37"/>
      <c r="E49" s="37"/>
      <c r="F49" s="37"/>
      <c r="G49" s="37"/>
      <c r="H49" s="37"/>
    </row>
    <row r="50" spans="1:8" ht="15.75" customHeight="1">
      <c r="A50" s="81"/>
      <c r="B50" s="81"/>
      <c r="D50" s="37"/>
      <c r="E50" s="37"/>
      <c r="F50" s="37"/>
      <c r="G50" s="37"/>
      <c r="H50" s="37"/>
    </row>
    <row r="51" spans="1:8" ht="15.75" customHeight="1">
      <c r="A51" s="81"/>
      <c r="B51" s="81"/>
      <c r="D51" s="37"/>
      <c r="E51" s="37"/>
      <c r="F51" s="37"/>
      <c r="G51" s="37"/>
      <c r="H51" s="37"/>
    </row>
    <row r="52" spans="1:8" ht="15.75" customHeight="1">
      <c r="A52" s="81"/>
      <c r="B52" s="81"/>
      <c r="D52" s="37"/>
      <c r="E52" s="37"/>
      <c r="F52" s="37"/>
      <c r="G52" s="37"/>
      <c r="H52" s="37"/>
    </row>
    <row r="53" spans="1:8" ht="15.75" customHeight="1">
      <c r="A53" s="81"/>
      <c r="B53" s="81"/>
      <c r="D53" s="37"/>
      <c r="E53" s="37"/>
      <c r="F53" s="37"/>
      <c r="G53" s="37"/>
      <c r="H53" s="37"/>
    </row>
    <row r="54" spans="1:8" ht="15.75" customHeight="1">
      <c r="A54" s="81"/>
      <c r="B54" s="81"/>
      <c r="D54" s="37"/>
      <c r="E54" s="37"/>
      <c r="F54" s="37"/>
      <c r="G54" s="37"/>
      <c r="H54" s="37"/>
    </row>
    <row r="55" spans="1:8" ht="15.75" customHeight="1">
      <c r="A55" s="81"/>
      <c r="B55" s="81"/>
      <c r="D55" s="37"/>
      <c r="E55" s="37"/>
      <c r="F55" s="37"/>
      <c r="G55" s="37"/>
      <c r="H55" s="37"/>
    </row>
    <row r="56" spans="1:8" ht="15.75" customHeight="1">
      <c r="A56" s="81"/>
      <c r="B56" s="81"/>
      <c r="D56" s="37"/>
      <c r="E56" s="37"/>
      <c r="F56" s="37"/>
      <c r="G56" s="37"/>
      <c r="H56" s="37"/>
    </row>
    <row r="57" spans="1:8" ht="15.75" customHeight="1">
      <c r="A57" s="81"/>
      <c r="B57" s="81"/>
      <c r="D57" s="37"/>
      <c r="E57" s="37"/>
      <c r="F57" s="37"/>
      <c r="G57" s="37"/>
      <c r="H57" s="37"/>
    </row>
    <row r="58" spans="1:8" ht="15.75" customHeight="1">
      <c r="A58" s="81"/>
      <c r="B58" s="81"/>
      <c r="D58" s="37"/>
      <c r="E58" s="37"/>
      <c r="F58" s="37"/>
      <c r="G58" s="37"/>
      <c r="H58" s="37"/>
    </row>
    <row r="59" spans="1:8" ht="15.75" customHeight="1">
      <c r="A59" s="81"/>
      <c r="B59" s="81"/>
      <c r="D59" s="37"/>
      <c r="E59" s="37"/>
      <c r="F59" s="37"/>
      <c r="G59" s="37"/>
      <c r="H59" s="37"/>
    </row>
    <row r="60" spans="1:8" ht="15.75" customHeight="1">
      <c r="A60" s="81"/>
      <c r="B60" s="81"/>
      <c r="D60" s="37"/>
      <c r="E60" s="37"/>
      <c r="F60" s="37"/>
      <c r="G60" s="37"/>
      <c r="H60" s="37"/>
    </row>
    <row r="61" spans="1:8" ht="15.75" customHeight="1">
      <c r="A61" s="81"/>
      <c r="B61" s="81"/>
      <c r="D61" s="37"/>
      <c r="E61" s="37"/>
      <c r="F61" s="37"/>
      <c r="G61" s="37"/>
      <c r="H61" s="37"/>
    </row>
    <row r="62" spans="1:8" ht="15.75" customHeight="1">
      <c r="A62" s="81"/>
      <c r="B62" s="81"/>
      <c r="D62" s="37"/>
      <c r="E62" s="37"/>
      <c r="F62" s="37"/>
      <c r="G62" s="37"/>
      <c r="H62" s="37"/>
    </row>
    <row r="63" spans="1:8" ht="15.75" customHeight="1">
      <c r="A63" s="81"/>
      <c r="B63" s="81"/>
      <c r="D63" s="37"/>
      <c r="E63" s="37"/>
      <c r="F63" s="37"/>
      <c r="G63" s="37"/>
      <c r="H63" s="37"/>
    </row>
    <row r="64" spans="1:8" ht="15.75" customHeight="1">
      <c r="A64" s="81"/>
      <c r="B64" s="81"/>
      <c r="D64" s="37"/>
      <c r="E64" s="37"/>
      <c r="F64" s="37"/>
      <c r="G64" s="37"/>
      <c r="H64" s="37"/>
    </row>
    <row r="65" spans="1:8" ht="15.75" customHeight="1">
      <c r="A65" s="81"/>
      <c r="B65" s="81"/>
      <c r="D65" s="37"/>
      <c r="E65" s="37"/>
      <c r="F65" s="37"/>
      <c r="G65" s="37"/>
      <c r="H65" s="37"/>
    </row>
    <row r="66" spans="1:8" ht="15.75" customHeight="1">
      <c r="A66" s="81"/>
      <c r="B66" s="81"/>
      <c r="D66" s="37"/>
      <c r="E66" s="37"/>
      <c r="F66" s="37"/>
      <c r="G66" s="37"/>
      <c r="H66" s="37"/>
    </row>
    <row r="67" spans="1:8" ht="15.75" customHeight="1">
      <c r="A67" s="81"/>
      <c r="B67" s="81"/>
      <c r="D67" s="37"/>
      <c r="E67" s="37"/>
      <c r="F67" s="37"/>
      <c r="G67" s="37"/>
      <c r="H67" s="37"/>
    </row>
    <row r="68" spans="1:8" ht="15.75" customHeight="1">
      <c r="A68" s="81"/>
      <c r="B68" s="81"/>
      <c r="D68" s="37"/>
      <c r="E68" s="37"/>
      <c r="F68" s="37"/>
      <c r="G68" s="37"/>
      <c r="H68" s="37"/>
    </row>
    <row r="69" spans="1:8" ht="15.75" customHeight="1">
      <c r="A69" s="81"/>
      <c r="B69" s="81"/>
      <c r="D69" s="37"/>
      <c r="E69" s="37"/>
      <c r="F69" s="37"/>
      <c r="G69" s="37"/>
      <c r="H69" s="37"/>
    </row>
    <row r="70" spans="1:8" ht="15.75" customHeight="1">
      <c r="A70" s="81"/>
      <c r="B70" s="81"/>
      <c r="D70" s="37"/>
      <c r="E70" s="37"/>
      <c r="F70" s="37"/>
      <c r="G70" s="37"/>
      <c r="H70" s="37"/>
    </row>
    <row r="71" spans="1:8" ht="15.75" customHeight="1">
      <c r="A71" s="81"/>
      <c r="B71" s="81"/>
      <c r="D71" s="37"/>
      <c r="E71" s="37"/>
      <c r="F71" s="37"/>
      <c r="G71" s="37"/>
      <c r="H71" s="37"/>
    </row>
    <row r="72" spans="1:8" ht="15.75" customHeight="1">
      <c r="A72" s="81"/>
      <c r="B72" s="81"/>
      <c r="D72" s="37"/>
      <c r="E72" s="37"/>
      <c r="F72" s="37"/>
      <c r="G72" s="37"/>
      <c r="H72" s="37"/>
    </row>
    <row r="73" spans="1:8" ht="15.75" customHeight="1">
      <c r="A73" s="81"/>
      <c r="B73" s="81"/>
      <c r="D73" s="37"/>
      <c r="E73" s="37"/>
      <c r="F73" s="37"/>
      <c r="G73" s="37"/>
      <c r="H73" s="37"/>
    </row>
    <row r="74" spans="1:8" ht="15.75" customHeight="1">
      <c r="A74" s="81"/>
      <c r="B74" s="81"/>
      <c r="D74" s="37"/>
      <c r="E74" s="37"/>
      <c r="F74" s="37"/>
      <c r="G74" s="37"/>
      <c r="H74" s="37"/>
    </row>
    <row r="75" spans="1:8" ht="15.75" customHeight="1">
      <c r="A75" s="81"/>
      <c r="B75" s="81"/>
      <c r="D75" s="37"/>
      <c r="E75" s="37"/>
      <c r="F75" s="37"/>
      <c r="G75" s="37"/>
      <c r="H75" s="37"/>
    </row>
    <row r="76" spans="1:8" ht="15.75" customHeight="1">
      <c r="A76" s="81"/>
      <c r="B76" s="81"/>
      <c r="D76" s="37"/>
      <c r="E76" s="37"/>
      <c r="F76" s="37"/>
      <c r="G76" s="37"/>
      <c r="H76" s="37"/>
    </row>
    <row r="77" spans="1:8" ht="15.75" customHeight="1">
      <c r="A77" s="81"/>
      <c r="B77" s="81"/>
      <c r="D77" s="37"/>
      <c r="E77" s="37"/>
      <c r="F77" s="37"/>
      <c r="G77" s="37"/>
      <c r="H77" s="37"/>
    </row>
    <row r="78" spans="1:8" ht="15.75" customHeight="1">
      <c r="A78" s="81"/>
      <c r="B78" s="81"/>
      <c r="D78" s="37"/>
      <c r="E78" s="37"/>
      <c r="F78" s="37"/>
      <c r="G78" s="37"/>
      <c r="H78" s="37"/>
    </row>
    <row r="79" spans="1:8" ht="15.75" customHeight="1">
      <c r="A79" s="81"/>
      <c r="B79" s="81"/>
      <c r="D79" s="37"/>
      <c r="E79" s="37"/>
      <c r="F79" s="37"/>
      <c r="G79" s="37"/>
      <c r="H79" s="37"/>
    </row>
    <row r="80" spans="1:8" ht="15.75" customHeight="1">
      <c r="A80" s="81"/>
      <c r="B80" s="81"/>
      <c r="D80" s="37"/>
      <c r="E80" s="37"/>
      <c r="F80" s="37"/>
      <c r="G80" s="37"/>
      <c r="H80" s="37"/>
    </row>
    <row r="81" spans="1:8" ht="15.75" customHeight="1">
      <c r="A81" s="81"/>
      <c r="B81" s="81"/>
      <c r="D81" s="37"/>
      <c r="E81" s="37"/>
      <c r="F81" s="37"/>
      <c r="G81" s="37"/>
      <c r="H81" s="37"/>
    </row>
    <row r="82" spans="1:8" ht="15.75" customHeight="1">
      <c r="A82" s="81"/>
      <c r="B82" s="81"/>
      <c r="D82" s="37"/>
      <c r="E82" s="37"/>
      <c r="F82" s="37"/>
      <c r="G82" s="37"/>
      <c r="H82" s="37"/>
    </row>
    <row r="83" spans="1:8" ht="15.75" customHeight="1">
      <c r="A83" s="81"/>
      <c r="B83" s="81"/>
      <c r="D83" s="37"/>
      <c r="E83" s="37"/>
      <c r="F83" s="37"/>
      <c r="G83" s="37"/>
      <c r="H83" s="37"/>
    </row>
    <row r="84" spans="1:8" ht="15.75" customHeight="1">
      <c r="A84" s="81"/>
      <c r="B84" s="81"/>
      <c r="D84" s="37"/>
      <c r="E84" s="37"/>
      <c r="F84" s="37"/>
      <c r="G84" s="37"/>
      <c r="H84" s="37"/>
    </row>
    <row r="85" spans="1:8" ht="15.75" customHeight="1">
      <c r="A85" s="81"/>
      <c r="B85" s="81"/>
      <c r="D85" s="37"/>
      <c r="E85" s="37"/>
      <c r="F85" s="37"/>
      <c r="G85" s="37"/>
      <c r="H85" s="37"/>
    </row>
    <row r="86" spans="1:8" ht="15.75" customHeight="1">
      <c r="A86" s="81"/>
      <c r="B86" s="81"/>
      <c r="D86" s="37"/>
      <c r="E86" s="37"/>
      <c r="F86" s="37"/>
      <c r="G86" s="37"/>
      <c r="H86" s="37"/>
    </row>
    <row r="87" spans="1:8" ht="15.75" customHeight="1">
      <c r="A87" s="81"/>
      <c r="B87" s="81"/>
      <c r="D87" s="37"/>
      <c r="E87" s="37"/>
      <c r="F87" s="37"/>
      <c r="G87" s="37"/>
      <c r="H87" s="37"/>
    </row>
    <row r="88" spans="1:8" ht="15.75" customHeight="1">
      <c r="A88" s="81"/>
      <c r="B88" s="81"/>
      <c r="D88" s="37"/>
      <c r="E88" s="37"/>
      <c r="F88" s="37"/>
      <c r="G88" s="37"/>
      <c r="H88" s="37"/>
    </row>
    <row r="89" spans="1:8" ht="15.75" customHeight="1">
      <c r="A89" s="81"/>
      <c r="B89" s="81"/>
      <c r="D89" s="37"/>
      <c r="E89" s="37"/>
      <c r="F89" s="37"/>
      <c r="G89" s="37"/>
      <c r="H89" s="37"/>
    </row>
    <row r="90" spans="1:8" ht="15.75" customHeight="1">
      <c r="A90" s="81"/>
      <c r="B90" s="81"/>
      <c r="D90" s="37"/>
      <c r="E90" s="37"/>
      <c r="F90" s="37"/>
      <c r="G90" s="37"/>
      <c r="H90" s="37"/>
    </row>
    <row r="91" spans="1:8" ht="15.75" customHeight="1">
      <c r="A91" s="81"/>
      <c r="B91" s="81"/>
      <c r="D91" s="37"/>
      <c r="E91" s="37"/>
      <c r="F91" s="37"/>
      <c r="G91" s="37"/>
      <c r="H91" s="37"/>
    </row>
    <row r="92" spans="1:8" ht="15.75" customHeight="1">
      <c r="A92" s="81"/>
      <c r="B92" s="81"/>
      <c r="D92" s="37"/>
      <c r="E92" s="37"/>
      <c r="F92" s="37"/>
      <c r="G92" s="37"/>
      <c r="H92" s="37"/>
    </row>
    <row r="93" spans="1:8" ht="15.75" customHeight="1">
      <c r="A93" s="81"/>
      <c r="B93" s="81"/>
      <c r="D93" s="37"/>
      <c r="E93" s="37"/>
      <c r="F93" s="37"/>
      <c r="G93" s="37"/>
      <c r="H93" s="37"/>
    </row>
    <row r="94" spans="1:8" ht="15.75" customHeight="1">
      <c r="A94" s="81"/>
      <c r="B94" s="81"/>
      <c r="D94" s="37"/>
      <c r="E94" s="37"/>
      <c r="F94" s="37"/>
      <c r="G94" s="37"/>
      <c r="H94" s="37"/>
    </row>
    <row r="95" spans="1:8" ht="15.75" customHeight="1">
      <c r="A95" s="81"/>
      <c r="B95" s="81"/>
      <c r="D95" s="37"/>
      <c r="E95" s="37"/>
      <c r="F95" s="37"/>
      <c r="G95" s="37"/>
      <c r="H95" s="37"/>
    </row>
    <row r="96" spans="1:8" ht="15.75" customHeight="1">
      <c r="A96" s="81"/>
      <c r="B96" s="81"/>
      <c r="D96" s="37"/>
      <c r="E96" s="37"/>
      <c r="F96" s="37"/>
      <c r="G96" s="37"/>
      <c r="H96" s="37"/>
    </row>
    <row r="97" spans="1:8" ht="15.75" customHeight="1">
      <c r="A97" s="81"/>
      <c r="B97" s="81"/>
      <c r="D97" s="37"/>
      <c r="E97" s="37"/>
      <c r="F97" s="37"/>
      <c r="G97" s="37"/>
      <c r="H97" s="37"/>
    </row>
    <row r="98" spans="1:8" ht="15.75" customHeight="1">
      <c r="A98" s="81"/>
      <c r="B98" s="81"/>
      <c r="D98" s="37"/>
      <c r="E98" s="37"/>
      <c r="F98" s="37"/>
      <c r="G98" s="37"/>
      <c r="H98" s="37"/>
    </row>
    <row r="99" spans="1:8" ht="15.75" customHeight="1">
      <c r="A99" s="81"/>
      <c r="B99" s="81"/>
      <c r="D99" s="37"/>
      <c r="E99" s="37"/>
      <c r="F99" s="37"/>
      <c r="G99" s="37"/>
      <c r="H99" s="37"/>
    </row>
    <row r="100" spans="1:8" ht="15.75" customHeight="1">
      <c r="A100" s="81"/>
      <c r="B100" s="81"/>
      <c r="D100" s="37"/>
      <c r="E100" s="37"/>
      <c r="F100" s="37"/>
      <c r="G100" s="37"/>
      <c r="H100" s="37"/>
    </row>
    <row r="101" spans="1:8" ht="15.75" customHeight="1">
      <c r="A101" s="81"/>
      <c r="B101" s="81"/>
      <c r="D101" s="37"/>
      <c r="E101" s="37"/>
      <c r="F101" s="37"/>
      <c r="G101" s="37"/>
      <c r="H101" s="37"/>
    </row>
    <row r="102" spans="1:8" ht="15.75" customHeight="1">
      <c r="A102" s="81"/>
      <c r="B102" s="81"/>
      <c r="D102" s="37"/>
      <c r="E102" s="37"/>
      <c r="F102" s="37"/>
      <c r="G102" s="37"/>
      <c r="H102" s="37"/>
    </row>
    <row r="103" spans="1:8" ht="15.75" customHeight="1">
      <c r="A103" s="81"/>
      <c r="B103" s="81"/>
      <c r="D103" s="37"/>
      <c r="E103" s="37"/>
      <c r="F103" s="37"/>
      <c r="G103" s="37"/>
      <c r="H103" s="37"/>
    </row>
    <row r="104" spans="1:8" ht="15.75" customHeight="1">
      <c r="A104" s="81"/>
      <c r="B104" s="81"/>
      <c r="D104" s="37"/>
      <c r="E104" s="37"/>
      <c r="F104" s="37"/>
      <c r="G104" s="37"/>
      <c r="H104" s="37"/>
    </row>
    <row r="105" spans="1:8" ht="15.75" customHeight="1">
      <c r="A105" s="81"/>
      <c r="B105" s="81"/>
      <c r="D105" s="37"/>
      <c r="E105" s="37"/>
      <c r="F105" s="37"/>
      <c r="G105" s="37"/>
      <c r="H105" s="37"/>
    </row>
    <row r="106" spans="1:8" ht="15.75" customHeight="1">
      <c r="A106" s="81"/>
      <c r="B106" s="81"/>
      <c r="D106" s="37"/>
      <c r="E106" s="37"/>
      <c r="F106" s="37"/>
      <c r="G106" s="37"/>
      <c r="H106" s="37"/>
    </row>
    <row r="107" spans="1:8" ht="15.75" customHeight="1">
      <c r="A107" s="81"/>
      <c r="B107" s="81"/>
      <c r="D107" s="37"/>
      <c r="E107" s="37"/>
      <c r="F107" s="37"/>
      <c r="G107" s="37"/>
      <c r="H107" s="37"/>
    </row>
    <row r="108" spans="1:8" ht="15.75" customHeight="1">
      <c r="A108" s="81"/>
      <c r="B108" s="81"/>
      <c r="D108" s="37"/>
      <c r="E108" s="37"/>
      <c r="F108" s="37"/>
      <c r="G108" s="37"/>
      <c r="H108" s="37"/>
    </row>
    <row r="109" spans="1:8" ht="15.75" customHeight="1">
      <c r="A109" s="81"/>
      <c r="B109" s="81"/>
      <c r="D109" s="37"/>
      <c r="E109" s="37"/>
      <c r="F109" s="37"/>
      <c r="G109" s="37"/>
      <c r="H109" s="37"/>
    </row>
    <row r="110" spans="1:8" ht="15.75" customHeight="1">
      <c r="A110" s="81"/>
      <c r="B110" s="81"/>
      <c r="D110" s="37"/>
      <c r="E110" s="37"/>
      <c r="F110" s="37"/>
      <c r="G110" s="37"/>
      <c r="H110" s="37"/>
    </row>
    <row r="111" spans="1:8" ht="15.75" customHeight="1">
      <c r="A111" s="81"/>
      <c r="B111" s="81"/>
      <c r="D111" s="37"/>
      <c r="E111" s="37"/>
      <c r="F111" s="37"/>
      <c r="G111" s="37"/>
      <c r="H111" s="37"/>
    </row>
    <row r="112" spans="1:8" ht="15.75" customHeight="1">
      <c r="A112" s="81"/>
      <c r="B112" s="81"/>
      <c r="D112" s="37"/>
      <c r="E112" s="37"/>
      <c r="F112" s="37"/>
      <c r="G112" s="37"/>
      <c r="H112" s="37"/>
    </row>
    <row r="113" spans="1:8" ht="15.75" customHeight="1">
      <c r="A113" s="81"/>
      <c r="B113" s="81"/>
      <c r="D113" s="37"/>
      <c r="E113" s="37"/>
      <c r="F113" s="37"/>
      <c r="G113" s="37"/>
      <c r="H113" s="37"/>
    </row>
    <row r="114" spans="1:8" ht="15.75" customHeight="1">
      <c r="A114" s="81"/>
      <c r="B114" s="81"/>
      <c r="D114" s="37"/>
      <c r="E114" s="37"/>
      <c r="F114" s="37"/>
      <c r="G114" s="37"/>
      <c r="H114" s="37"/>
    </row>
    <row r="115" spans="1:8" ht="15.75" customHeight="1">
      <c r="A115" s="81"/>
      <c r="B115" s="81"/>
      <c r="D115" s="37"/>
      <c r="E115" s="37"/>
      <c r="F115" s="37"/>
      <c r="G115" s="37"/>
      <c r="H115" s="37"/>
    </row>
    <row r="116" spans="1:8" ht="15.75" customHeight="1">
      <c r="A116" s="81"/>
      <c r="B116" s="81"/>
      <c r="D116" s="37"/>
      <c r="E116" s="37"/>
      <c r="F116" s="37"/>
      <c r="G116" s="37"/>
      <c r="H116" s="37"/>
    </row>
    <row r="117" spans="1:8" ht="15.75" customHeight="1">
      <c r="A117" s="81"/>
      <c r="B117" s="81"/>
      <c r="D117" s="37"/>
      <c r="E117" s="37"/>
      <c r="F117" s="37"/>
      <c r="G117" s="37"/>
      <c r="H117" s="37"/>
    </row>
    <row r="118" spans="1:8" ht="15.75" customHeight="1">
      <c r="A118" s="81"/>
      <c r="B118" s="81"/>
      <c r="D118" s="37"/>
      <c r="E118" s="37"/>
      <c r="F118" s="37"/>
      <c r="G118" s="37"/>
      <c r="H118" s="37"/>
    </row>
    <row r="119" spans="1:8" ht="15.75" customHeight="1">
      <c r="A119" s="81"/>
      <c r="B119" s="81"/>
      <c r="D119" s="37"/>
      <c r="E119" s="37"/>
      <c r="F119" s="37"/>
      <c r="G119" s="37"/>
      <c r="H119" s="37"/>
    </row>
    <row r="120" spans="1:8" ht="15.75" customHeight="1">
      <c r="A120" s="81"/>
      <c r="B120" s="81"/>
      <c r="D120" s="37"/>
      <c r="E120" s="37"/>
      <c r="F120" s="37"/>
      <c r="G120" s="37"/>
      <c r="H120" s="37"/>
    </row>
    <row r="121" spans="1:8" ht="15.75" customHeight="1">
      <c r="A121" s="81"/>
      <c r="B121" s="81"/>
      <c r="D121" s="37"/>
      <c r="E121" s="37"/>
      <c r="F121" s="37"/>
      <c r="G121" s="37"/>
      <c r="H121" s="37"/>
    </row>
    <row r="122" spans="1:8" ht="15.75" customHeight="1">
      <c r="A122" s="81"/>
      <c r="B122" s="81"/>
      <c r="D122" s="37"/>
      <c r="E122" s="37"/>
      <c r="F122" s="37"/>
      <c r="G122" s="37"/>
      <c r="H122" s="37"/>
    </row>
    <row r="123" spans="1:8" ht="15.75" customHeight="1">
      <c r="A123" s="81"/>
      <c r="B123" s="81"/>
      <c r="D123" s="37"/>
      <c r="E123" s="37"/>
      <c r="F123" s="37"/>
      <c r="G123" s="37"/>
      <c r="H123" s="37"/>
    </row>
    <row r="124" spans="1:8" ht="15.75" customHeight="1">
      <c r="A124" s="81"/>
      <c r="B124" s="81"/>
      <c r="D124" s="37"/>
      <c r="E124" s="37"/>
      <c r="F124" s="37"/>
      <c r="G124" s="37"/>
      <c r="H124" s="37"/>
    </row>
    <row r="125" spans="1:8" ht="15.75" customHeight="1">
      <c r="A125" s="81"/>
      <c r="B125" s="81"/>
      <c r="D125" s="37"/>
      <c r="E125" s="37"/>
      <c r="F125" s="37"/>
      <c r="G125" s="37"/>
      <c r="H125" s="37"/>
    </row>
    <row r="126" spans="1:8" ht="15.75" customHeight="1">
      <c r="A126" s="81"/>
      <c r="B126" s="81"/>
      <c r="D126" s="37"/>
      <c r="E126" s="37"/>
      <c r="F126" s="37"/>
      <c r="G126" s="37"/>
      <c r="H126" s="37"/>
    </row>
    <row r="127" spans="1:8" ht="15.75" customHeight="1">
      <c r="A127" s="81"/>
      <c r="B127" s="81"/>
      <c r="D127" s="37"/>
      <c r="E127" s="37"/>
      <c r="F127" s="37"/>
      <c r="G127" s="37"/>
      <c r="H127" s="37"/>
    </row>
    <row r="128" spans="1:8" ht="15.75" customHeight="1">
      <c r="A128" s="81"/>
      <c r="B128" s="81"/>
      <c r="D128" s="37"/>
      <c r="E128" s="37"/>
      <c r="F128" s="37"/>
      <c r="G128" s="37"/>
      <c r="H128" s="37"/>
    </row>
    <row r="129" spans="1:8" ht="15.75" customHeight="1">
      <c r="A129" s="81"/>
      <c r="B129" s="81"/>
      <c r="D129" s="37"/>
      <c r="E129" s="37"/>
      <c r="F129" s="37"/>
      <c r="G129" s="37"/>
      <c r="H129" s="37"/>
    </row>
    <row r="130" spans="1:8" ht="15.75" customHeight="1">
      <c r="A130" s="81"/>
      <c r="B130" s="81"/>
      <c r="D130" s="37"/>
      <c r="E130" s="37"/>
      <c r="F130" s="37"/>
      <c r="G130" s="37"/>
      <c r="H130" s="37"/>
    </row>
    <row r="131" spans="1:8" ht="15.75" customHeight="1">
      <c r="A131" s="81"/>
      <c r="B131" s="81"/>
      <c r="D131" s="37"/>
      <c r="E131" s="37"/>
      <c r="F131" s="37"/>
      <c r="G131" s="37"/>
      <c r="H131" s="37"/>
    </row>
    <row r="132" spans="1:8" ht="15.75" customHeight="1">
      <c r="A132" s="81"/>
      <c r="B132" s="81"/>
      <c r="D132" s="37"/>
      <c r="E132" s="37"/>
      <c r="F132" s="37"/>
      <c r="G132" s="37"/>
      <c r="H132" s="37"/>
    </row>
    <row r="133" spans="1:8" ht="15.75" customHeight="1">
      <c r="A133" s="81"/>
      <c r="B133" s="81"/>
      <c r="D133" s="37"/>
      <c r="E133" s="37"/>
      <c r="F133" s="37"/>
      <c r="G133" s="37"/>
      <c r="H133" s="37"/>
    </row>
    <row r="134" spans="1:8" ht="15.75" customHeight="1">
      <c r="A134" s="81"/>
      <c r="B134" s="81"/>
      <c r="D134" s="37"/>
      <c r="E134" s="37"/>
      <c r="F134" s="37"/>
      <c r="G134" s="37"/>
      <c r="H134" s="37"/>
    </row>
    <row r="135" spans="1:8" ht="15.75" customHeight="1">
      <c r="A135" s="81"/>
      <c r="B135" s="81"/>
      <c r="D135" s="37"/>
      <c r="E135" s="37"/>
      <c r="F135" s="37"/>
      <c r="G135" s="37"/>
      <c r="H135" s="37"/>
    </row>
    <row r="136" spans="1:8" ht="15.75" customHeight="1">
      <c r="A136" s="81"/>
      <c r="B136" s="81"/>
      <c r="D136" s="37"/>
      <c r="E136" s="37"/>
      <c r="F136" s="37"/>
      <c r="G136" s="37"/>
      <c r="H136" s="37"/>
    </row>
    <row r="137" spans="1:8" ht="15.75" customHeight="1">
      <c r="A137" s="81"/>
      <c r="B137" s="81"/>
      <c r="D137" s="37"/>
      <c r="E137" s="37"/>
      <c r="F137" s="37"/>
      <c r="G137" s="37"/>
      <c r="H137" s="37"/>
    </row>
    <row r="138" spans="1:8" ht="15.75" customHeight="1">
      <c r="A138" s="81"/>
      <c r="B138" s="81"/>
      <c r="D138" s="37"/>
      <c r="E138" s="37"/>
      <c r="F138" s="37"/>
      <c r="G138" s="37"/>
      <c r="H138" s="37"/>
    </row>
    <row r="139" spans="1:8" ht="15.75" customHeight="1">
      <c r="A139" s="81"/>
      <c r="B139" s="81"/>
      <c r="D139" s="37"/>
      <c r="E139" s="37"/>
      <c r="F139" s="37"/>
      <c r="G139" s="37"/>
      <c r="H139" s="37"/>
    </row>
    <row r="140" spans="1:8" ht="15.75" customHeight="1">
      <c r="A140" s="81"/>
      <c r="B140" s="81"/>
      <c r="D140" s="37"/>
      <c r="E140" s="37"/>
      <c r="F140" s="37"/>
      <c r="G140" s="37"/>
      <c r="H140" s="37"/>
    </row>
    <row r="141" spans="1:8" ht="15.75" customHeight="1">
      <c r="A141" s="81"/>
      <c r="B141" s="81"/>
      <c r="D141" s="37"/>
      <c r="E141" s="37"/>
      <c r="F141" s="37"/>
      <c r="G141" s="37"/>
      <c r="H141" s="37"/>
    </row>
    <row r="142" spans="1:8" ht="15.75" customHeight="1">
      <c r="A142" s="81"/>
      <c r="B142" s="81"/>
      <c r="D142" s="37"/>
      <c r="E142" s="37"/>
      <c r="F142" s="37"/>
      <c r="G142" s="37"/>
      <c r="H142" s="37"/>
    </row>
    <row r="143" spans="1:8" ht="15.75" customHeight="1">
      <c r="A143" s="81"/>
      <c r="B143" s="81"/>
      <c r="D143" s="37"/>
      <c r="E143" s="37"/>
      <c r="F143" s="37"/>
      <c r="G143" s="37"/>
      <c r="H143" s="37"/>
    </row>
    <row r="144" spans="1:8" ht="15.75" customHeight="1">
      <c r="A144" s="81"/>
      <c r="B144" s="81"/>
      <c r="D144" s="37"/>
      <c r="E144" s="37"/>
      <c r="F144" s="37"/>
      <c r="G144" s="37"/>
      <c r="H144" s="37"/>
    </row>
    <row r="145" spans="1:8" ht="15.75" customHeight="1">
      <c r="A145" s="81"/>
      <c r="B145" s="81"/>
      <c r="D145" s="37"/>
      <c r="E145" s="37"/>
      <c r="F145" s="37"/>
      <c r="G145" s="37"/>
      <c r="H145" s="37"/>
    </row>
    <row r="146" spans="1:8" ht="15.75" customHeight="1">
      <c r="A146" s="81"/>
      <c r="B146" s="81"/>
      <c r="D146" s="37"/>
      <c r="E146" s="37"/>
      <c r="F146" s="37"/>
      <c r="G146" s="37"/>
      <c r="H146" s="37"/>
    </row>
    <row r="147" spans="1:8" ht="15.75" customHeight="1">
      <c r="A147" s="81"/>
      <c r="B147" s="81"/>
      <c r="D147" s="37"/>
      <c r="E147" s="37"/>
      <c r="F147" s="37"/>
      <c r="G147" s="37"/>
      <c r="H147" s="37"/>
    </row>
    <row r="148" spans="1:8" ht="15.75" customHeight="1">
      <c r="A148" s="81"/>
      <c r="B148" s="81"/>
      <c r="D148" s="37"/>
      <c r="E148" s="37"/>
      <c r="F148" s="37"/>
      <c r="G148" s="37"/>
      <c r="H148" s="37"/>
    </row>
    <row r="149" spans="1:8" ht="15.75" customHeight="1">
      <c r="A149" s="81"/>
      <c r="B149" s="81"/>
      <c r="D149" s="37"/>
      <c r="E149" s="37"/>
      <c r="F149" s="37"/>
      <c r="G149" s="37"/>
      <c r="H149" s="37"/>
    </row>
    <row r="150" spans="1:8" ht="15.75" customHeight="1">
      <c r="A150" s="81"/>
      <c r="B150" s="81"/>
      <c r="D150" s="37"/>
      <c r="E150" s="37"/>
      <c r="F150" s="37"/>
      <c r="G150" s="37"/>
      <c r="H150" s="37"/>
    </row>
    <row r="151" spans="1:8" ht="15.75" customHeight="1">
      <c r="A151" s="81"/>
      <c r="B151" s="81"/>
      <c r="D151" s="37"/>
      <c r="E151" s="37"/>
      <c r="F151" s="37"/>
      <c r="G151" s="37"/>
      <c r="H151" s="37"/>
    </row>
    <row r="152" spans="1:8" ht="15.75" customHeight="1">
      <c r="A152" s="81"/>
      <c r="B152" s="81"/>
      <c r="D152" s="37"/>
      <c r="E152" s="37"/>
      <c r="F152" s="37"/>
      <c r="G152" s="37"/>
      <c r="H152" s="37"/>
    </row>
    <row r="153" spans="1:8" ht="15.75" customHeight="1">
      <c r="A153" s="81"/>
      <c r="B153" s="81"/>
      <c r="D153" s="37"/>
      <c r="E153" s="37"/>
      <c r="F153" s="37"/>
      <c r="G153" s="37"/>
      <c r="H153" s="37"/>
    </row>
    <row r="154" spans="1:8" ht="15.75" customHeight="1">
      <c r="A154" s="81"/>
      <c r="B154" s="81"/>
      <c r="D154" s="37"/>
      <c r="E154" s="37"/>
      <c r="F154" s="37"/>
      <c r="G154" s="37"/>
      <c r="H154" s="37"/>
    </row>
    <row r="155" spans="1:8" ht="15.75" customHeight="1">
      <c r="A155" s="81"/>
      <c r="B155" s="81"/>
      <c r="D155" s="37"/>
      <c r="E155" s="37"/>
      <c r="F155" s="37"/>
      <c r="G155" s="37"/>
      <c r="H155" s="37"/>
    </row>
    <row r="156" spans="1:8" ht="15.75" customHeight="1">
      <c r="A156" s="81"/>
      <c r="B156" s="81"/>
      <c r="D156" s="37"/>
      <c r="E156" s="37"/>
      <c r="F156" s="37"/>
      <c r="G156" s="37"/>
      <c r="H156" s="37"/>
    </row>
    <row r="157" spans="1:8" ht="15.75" customHeight="1">
      <c r="A157" s="81"/>
      <c r="B157" s="81"/>
      <c r="D157" s="37"/>
      <c r="E157" s="37"/>
      <c r="F157" s="37"/>
      <c r="G157" s="37"/>
      <c r="H157" s="37"/>
    </row>
    <row r="158" spans="1:8" ht="15.75" customHeight="1">
      <c r="A158" s="81"/>
      <c r="B158" s="81"/>
      <c r="D158" s="37"/>
      <c r="E158" s="37"/>
      <c r="F158" s="37"/>
      <c r="G158" s="37"/>
      <c r="H158" s="37"/>
    </row>
    <row r="159" spans="1:8" ht="15.75" customHeight="1">
      <c r="A159" s="81"/>
      <c r="B159" s="81"/>
      <c r="D159" s="37"/>
      <c r="E159" s="37"/>
      <c r="F159" s="37"/>
      <c r="G159" s="37"/>
      <c r="H159" s="37"/>
    </row>
    <row r="160" spans="1:8" ht="15.75" customHeight="1">
      <c r="A160" s="81"/>
      <c r="B160" s="81"/>
      <c r="D160" s="37"/>
      <c r="E160" s="37"/>
      <c r="F160" s="37"/>
      <c r="G160" s="37"/>
      <c r="H160" s="37"/>
    </row>
    <row r="161" spans="1:8" ht="15.75" customHeight="1">
      <c r="A161" s="81"/>
      <c r="B161" s="81"/>
      <c r="D161" s="37"/>
      <c r="E161" s="37"/>
      <c r="F161" s="37"/>
      <c r="G161" s="37"/>
      <c r="H161" s="37"/>
    </row>
    <row r="162" spans="1:8" ht="15.75" customHeight="1">
      <c r="A162" s="81"/>
      <c r="B162" s="81"/>
      <c r="D162" s="37"/>
      <c r="E162" s="37"/>
      <c r="F162" s="37"/>
      <c r="G162" s="37"/>
      <c r="H162" s="37"/>
    </row>
    <row r="163" spans="1:8" ht="15.75" customHeight="1">
      <c r="A163" s="81"/>
      <c r="B163" s="81"/>
      <c r="D163" s="37"/>
      <c r="E163" s="37"/>
      <c r="F163" s="37"/>
      <c r="G163" s="37"/>
      <c r="H163" s="37"/>
    </row>
    <row r="164" spans="1:8" ht="15.75" customHeight="1">
      <c r="A164" s="81"/>
      <c r="B164" s="81"/>
      <c r="D164" s="37"/>
      <c r="E164" s="37"/>
      <c r="F164" s="37"/>
      <c r="G164" s="37"/>
      <c r="H164" s="37"/>
    </row>
    <row r="165" spans="1:8" ht="15.75" customHeight="1">
      <c r="A165" s="81"/>
      <c r="B165" s="81"/>
      <c r="D165" s="37"/>
      <c r="E165" s="37"/>
      <c r="F165" s="37"/>
      <c r="G165" s="37"/>
      <c r="H165" s="37"/>
    </row>
    <row r="166" spans="1:8" ht="15.75" customHeight="1">
      <c r="A166" s="81"/>
      <c r="B166" s="81"/>
      <c r="D166" s="37"/>
      <c r="E166" s="37"/>
      <c r="F166" s="37"/>
      <c r="G166" s="37"/>
      <c r="H166" s="37"/>
    </row>
    <row r="167" spans="1:8" ht="15.75" customHeight="1">
      <c r="A167" s="81"/>
      <c r="B167" s="81"/>
      <c r="D167" s="37"/>
      <c r="E167" s="37"/>
      <c r="F167" s="37"/>
      <c r="G167" s="37"/>
      <c r="H167" s="37"/>
    </row>
    <row r="168" spans="1:8" ht="15.75" customHeight="1">
      <c r="A168" s="81"/>
      <c r="B168" s="81"/>
      <c r="D168" s="37"/>
      <c r="E168" s="37"/>
      <c r="F168" s="37"/>
      <c r="G168" s="37"/>
      <c r="H168" s="37"/>
    </row>
    <row r="169" spans="1:8" ht="15.75" customHeight="1">
      <c r="A169" s="81"/>
      <c r="B169" s="81"/>
      <c r="D169" s="37"/>
      <c r="E169" s="37"/>
      <c r="F169" s="37"/>
      <c r="G169" s="37"/>
      <c r="H169" s="37"/>
    </row>
    <row r="170" spans="1:8" ht="15.75" customHeight="1">
      <c r="A170" s="81"/>
      <c r="B170" s="81"/>
      <c r="D170" s="37"/>
      <c r="E170" s="37"/>
      <c r="F170" s="37"/>
      <c r="G170" s="37"/>
      <c r="H170" s="37"/>
    </row>
    <row r="171" spans="1:8" ht="15.75" customHeight="1">
      <c r="A171" s="81"/>
      <c r="B171" s="81"/>
      <c r="D171" s="37"/>
      <c r="E171" s="37"/>
      <c r="F171" s="37"/>
      <c r="G171" s="37"/>
      <c r="H171" s="37"/>
    </row>
    <row r="172" spans="1:8" ht="15.75" customHeight="1">
      <c r="A172" s="81"/>
      <c r="B172" s="81"/>
      <c r="D172" s="37"/>
      <c r="E172" s="37"/>
      <c r="F172" s="37"/>
      <c r="G172" s="37"/>
      <c r="H172" s="37"/>
    </row>
    <row r="173" spans="1:8" ht="15.75" customHeight="1">
      <c r="A173" s="81"/>
      <c r="B173" s="81"/>
      <c r="D173" s="37"/>
      <c r="E173" s="37"/>
      <c r="F173" s="37"/>
      <c r="G173" s="37"/>
      <c r="H173" s="37"/>
    </row>
    <row r="174" spans="1:8" ht="15.75" customHeight="1">
      <c r="A174" s="81"/>
      <c r="B174" s="81"/>
      <c r="D174" s="37"/>
      <c r="E174" s="37"/>
      <c r="F174" s="37"/>
      <c r="G174" s="37"/>
      <c r="H174" s="37"/>
    </row>
    <row r="175" spans="1:8" ht="15.75" customHeight="1">
      <c r="A175" s="81"/>
      <c r="B175" s="81"/>
      <c r="D175" s="37"/>
      <c r="E175" s="37"/>
      <c r="F175" s="37"/>
      <c r="G175" s="37"/>
      <c r="H175" s="37"/>
    </row>
    <row r="176" spans="1:8" ht="15.75" customHeight="1">
      <c r="A176" s="81"/>
      <c r="B176" s="81"/>
      <c r="D176" s="37"/>
      <c r="E176" s="37"/>
      <c r="F176" s="37"/>
      <c r="G176" s="37"/>
      <c r="H176" s="37"/>
    </row>
    <row r="177" spans="1:8" ht="15.75" customHeight="1">
      <c r="A177" s="81"/>
      <c r="B177" s="81"/>
      <c r="D177" s="37"/>
      <c r="E177" s="37"/>
      <c r="F177" s="37"/>
      <c r="G177" s="37"/>
      <c r="H177" s="37"/>
    </row>
    <row r="178" spans="1:8" ht="15.75" customHeight="1">
      <c r="A178" s="81"/>
      <c r="B178" s="81"/>
      <c r="D178" s="37"/>
      <c r="E178" s="37"/>
      <c r="F178" s="37"/>
      <c r="G178" s="37"/>
      <c r="H178" s="37"/>
    </row>
    <row r="179" spans="1:8" ht="15.75" customHeight="1">
      <c r="A179" s="81"/>
      <c r="B179" s="81"/>
      <c r="D179" s="37"/>
      <c r="E179" s="37"/>
      <c r="F179" s="37"/>
      <c r="G179" s="37"/>
      <c r="H179" s="37"/>
    </row>
    <row r="180" spans="1:8" ht="15.75" customHeight="1">
      <c r="A180" s="81"/>
      <c r="B180" s="81"/>
      <c r="D180" s="37"/>
      <c r="E180" s="37"/>
      <c r="F180" s="37"/>
      <c r="G180" s="37"/>
      <c r="H180" s="37"/>
    </row>
    <row r="181" spans="1:8" ht="15.75" customHeight="1">
      <c r="A181" s="81"/>
      <c r="B181" s="81"/>
      <c r="D181" s="37"/>
      <c r="E181" s="37"/>
      <c r="F181" s="37"/>
      <c r="G181" s="37"/>
      <c r="H181" s="37"/>
    </row>
    <row r="182" spans="1:8" ht="15.75" customHeight="1">
      <c r="A182" s="81"/>
      <c r="B182" s="81"/>
      <c r="D182" s="37"/>
      <c r="E182" s="37"/>
      <c r="F182" s="37"/>
      <c r="G182" s="37"/>
      <c r="H182" s="37"/>
    </row>
    <row r="183" spans="1:8" ht="15.75" customHeight="1">
      <c r="A183" s="81"/>
      <c r="B183" s="81"/>
      <c r="D183" s="37"/>
      <c r="E183" s="37"/>
      <c r="F183" s="37"/>
      <c r="G183" s="37"/>
      <c r="H183" s="37"/>
    </row>
    <row r="184" spans="1:8" ht="15.75" customHeight="1">
      <c r="A184" s="81"/>
      <c r="B184" s="81"/>
      <c r="D184" s="37"/>
      <c r="E184" s="37"/>
      <c r="F184" s="37"/>
      <c r="G184" s="37"/>
      <c r="H184" s="37"/>
    </row>
    <row r="185" spans="1:8" ht="15.75" customHeight="1">
      <c r="A185" s="81"/>
      <c r="B185" s="81"/>
      <c r="D185" s="37"/>
      <c r="E185" s="37"/>
      <c r="F185" s="37"/>
      <c r="G185" s="37"/>
      <c r="H185" s="37"/>
    </row>
    <row r="186" spans="1:8" ht="15.75" customHeight="1">
      <c r="A186" s="81"/>
      <c r="B186" s="81"/>
      <c r="D186" s="37"/>
      <c r="E186" s="37"/>
      <c r="F186" s="37"/>
      <c r="G186" s="37"/>
      <c r="H186" s="37"/>
    </row>
    <row r="187" spans="1:8" ht="15.75" customHeight="1">
      <c r="A187" s="81"/>
      <c r="B187" s="81"/>
      <c r="D187" s="37"/>
      <c r="E187" s="37"/>
      <c r="F187" s="37"/>
      <c r="G187" s="37"/>
      <c r="H187" s="37"/>
    </row>
    <row r="188" spans="1:8" ht="15.75" customHeight="1">
      <c r="A188" s="81"/>
      <c r="B188" s="81"/>
      <c r="D188" s="37"/>
      <c r="E188" s="37"/>
      <c r="F188" s="37"/>
      <c r="G188" s="37"/>
      <c r="H188" s="37"/>
    </row>
    <row r="189" spans="1:8" ht="15.75" customHeight="1">
      <c r="A189" s="81"/>
      <c r="B189" s="81"/>
      <c r="D189" s="37"/>
      <c r="E189" s="37"/>
      <c r="F189" s="37"/>
      <c r="G189" s="37"/>
      <c r="H189" s="37"/>
    </row>
    <row r="190" spans="1:8" ht="15.75" customHeight="1">
      <c r="A190" s="81"/>
      <c r="B190" s="81"/>
      <c r="D190" s="37"/>
      <c r="E190" s="37"/>
      <c r="F190" s="37"/>
      <c r="G190" s="37"/>
      <c r="H190" s="37"/>
    </row>
    <row r="191" spans="1:8" ht="15.75" customHeight="1">
      <c r="A191" s="81"/>
      <c r="B191" s="81"/>
      <c r="D191" s="37"/>
      <c r="E191" s="37"/>
      <c r="F191" s="37"/>
      <c r="G191" s="37"/>
      <c r="H191" s="37"/>
    </row>
    <row r="192" spans="1:8" ht="15.75" customHeight="1">
      <c r="A192" s="81"/>
      <c r="B192" s="81"/>
      <c r="D192" s="37"/>
      <c r="E192" s="37"/>
      <c r="F192" s="37"/>
      <c r="G192" s="37"/>
      <c r="H192" s="37"/>
    </row>
    <row r="193" spans="1:8" ht="15.75" customHeight="1">
      <c r="A193" s="81"/>
      <c r="B193" s="81"/>
      <c r="D193" s="37"/>
      <c r="E193" s="37"/>
      <c r="F193" s="37"/>
      <c r="G193" s="37"/>
      <c r="H193" s="37"/>
    </row>
    <row r="194" spans="1:8" ht="15.75" customHeight="1">
      <c r="A194" s="81"/>
      <c r="B194" s="81"/>
      <c r="D194" s="37"/>
      <c r="E194" s="37"/>
      <c r="F194" s="37"/>
      <c r="G194" s="37"/>
      <c r="H194" s="37"/>
    </row>
    <row r="195" spans="1:8" ht="15.75" customHeight="1">
      <c r="A195" s="81"/>
      <c r="B195" s="81"/>
      <c r="D195" s="37"/>
      <c r="E195" s="37"/>
      <c r="F195" s="37"/>
      <c r="G195" s="37"/>
      <c r="H195" s="37"/>
    </row>
    <row r="196" spans="1:8" ht="15.75" customHeight="1">
      <c r="A196" s="81"/>
      <c r="B196" s="81"/>
      <c r="D196" s="37"/>
      <c r="E196" s="37"/>
      <c r="F196" s="37"/>
      <c r="G196" s="37"/>
      <c r="H196" s="37"/>
    </row>
    <row r="197" spans="1:8" ht="15.75" customHeight="1">
      <c r="A197" s="81"/>
      <c r="B197" s="81"/>
      <c r="D197" s="37"/>
      <c r="E197" s="37"/>
      <c r="F197" s="37"/>
      <c r="G197" s="37"/>
      <c r="H197" s="37"/>
    </row>
    <row r="198" spans="1:8" ht="15.75" customHeight="1">
      <c r="A198" s="81"/>
      <c r="B198" s="81"/>
      <c r="D198" s="37"/>
      <c r="E198" s="37"/>
      <c r="F198" s="37"/>
      <c r="G198" s="37"/>
      <c r="H198" s="37"/>
    </row>
    <row r="199" spans="1:8" ht="15.75" customHeight="1">
      <c r="A199" s="81"/>
      <c r="B199" s="81"/>
      <c r="D199" s="37"/>
      <c r="E199" s="37"/>
      <c r="F199" s="37"/>
      <c r="G199" s="37"/>
      <c r="H199" s="37"/>
    </row>
    <row r="200" spans="1:8" ht="15.75" customHeight="1">
      <c r="A200" s="81"/>
      <c r="B200" s="81"/>
      <c r="D200" s="37"/>
      <c r="E200" s="37"/>
      <c r="F200" s="37"/>
      <c r="G200" s="37"/>
      <c r="H200" s="37"/>
    </row>
    <row r="201" spans="1:8" ht="15.75" customHeight="1">
      <c r="A201" s="81"/>
      <c r="B201" s="81"/>
      <c r="D201" s="37"/>
      <c r="E201" s="37"/>
      <c r="F201" s="37"/>
      <c r="G201" s="37"/>
      <c r="H201" s="37"/>
    </row>
    <row r="202" spans="1:8" ht="15.75" customHeight="1">
      <c r="A202" s="81"/>
      <c r="B202" s="81"/>
      <c r="D202" s="37"/>
      <c r="E202" s="37"/>
      <c r="F202" s="37"/>
      <c r="G202" s="37"/>
      <c r="H202" s="37"/>
    </row>
    <row r="203" spans="1:8" ht="15.75" customHeight="1">
      <c r="A203" s="81"/>
      <c r="B203" s="81"/>
      <c r="D203" s="37"/>
      <c r="E203" s="37"/>
      <c r="F203" s="37"/>
      <c r="G203" s="37"/>
      <c r="H203" s="37"/>
    </row>
    <row r="204" spans="1:8" ht="15.75" customHeight="1">
      <c r="A204" s="81"/>
      <c r="B204" s="81"/>
      <c r="D204" s="37"/>
      <c r="E204" s="37"/>
      <c r="F204" s="37"/>
      <c r="G204" s="37"/>
      <c r="H204" s="37"/>
    </row>
    <row r="205" spans="1:8" ht="15.75" customHeight="1">
      <c r="A205" s="81"/>
      <c r="B205" s="81"/>
      <c r="D205" s="37"/>
      <c r="E205" s="37"/>
      <c r="F205" s="37"/>
      <c r="G205" s="37"/>
      <c r="H205" s="37"/>
    </row>
    <row r="206" spans="1:8" ht="15.75" customHeight="1">
      <c r="A206" s="81"/>
      <c r="B206" s="81"/>
      <c r="D206" s="37"/>
      <c r="E206" s="37"/>
      <c r="F206" s="37"/>
      <c r="G206" s="37"/>
      <c r="H206" s="37"/>
    </row>
    <row r="207" spans="1:8" ht="15.75" customHeight="1">
      <c r="A207" s="81"/>
      <c r="B207" s="81"/>
      <c r="D207" s="37"/>
      <c r="E207" s="37"/>
      <c r="F207" s="37"/>
      <c r="G207" s="37"/>
      <c r="H207" s="37"/>
    </row>
    <row r="208" spans="1:8" ht="15.75" customHeight="1">
      <c r="A208" s="81"/>
      <c r="B208" s="81"/>
      <c r="D208" s="37"/>
      <c r="E208" s="37"/>
      <c r="F208" s="37"/>
      <c r="G208" s="37"/>
      <c r="H208" s="37"/>
    </row>
    <row r="209" spans="1:8" ht="15.75" customHeight="1">
      <c r="A209" s="81"/>
      <c r="B209" s="81"/>
      <c r="D209" s="37"/>
      <c r="E209" s="37"/>
      <c r="F209" s="37"/>
      <c r="G209" s="37"/>
      <c r="H209" s="37"/>
    </row>
    <row r="210" spans="1:8" ht="15.75" customHeight="1">
      <c r="A210" s="81"/>
      <c r="B210" s="81"/>
      <c r="D210" s="37"/>
      <c r="E210" s="37"/>
      <c r="F210" s="37"/>
      <c r="G210" s="37"/>
      <c r="H210" s="37"/>
    </row>
    <row r="211" spans="1:8" ht="15.75" customHeight="1">
      <c r="A211" s="81"/>
      <c r="B211" s="81"/>
      <c r="D211" s="37"/>
      <c r="E211" s="37"/>
      <c r="F211" s="37"/>
      <c r="G211" s="37"/>
      <c r="H211" s="37"/>
    </row>
    <row r="212" spans="1:8" ht="15.75" customHeight="1">
      <c r="A212" s="81"/>
      <c r="B212" s="81"/>
      <c r="D212" s="37"/>
      <c r="E212" s="37"/>
      <c r="F212" s="37"/>
      <c r="G212" s="37"/>
      <c r="H212" s="37"/>
    </row>
    <row r="213" spans="1:8" ht="15.75" customHeight="1">
      <c r="A213" s="81"/>
      <c r="B213" s="81"/>
      <c r="D213" s="37"/>
      <c r="E213" s="37"/>
      <c r="F213" s="37"/>
      <c r="G213" s="37"/>
      <c r="H213" s="37"/>
    </row>
    <row r="214" spans="1:8" ht="15.75" customHeight="1">
      <c r="A214" s="81"/>
      <c r="B214" s="81"/>
      <c r="D214" s="37"/>
      <c r="E214" s="37"/>
      <c r="F214" s="37"/>
      <c r="G214" s="37"/>
      <c r="H214" s="37"/>
    </row>
    <row r="215" spans="1:8" ht="15.75" customHeight="1">
      <c r="A215" s="81"/>
      <c r="B215" s="81"/>
      <c r="D215" s="37"/>
      <c r="E215" s="37"/>
      <c r="F215" s="37"/>
      <c r="G215" s="37"/>
      <c r="H215" s="37"/>
    </row>
    <row r="216" spans="1:8" ht="15.75" customHeight="1">
      <c r="A216" s="81"/>
      <c r="B216" s="81"/>
      <c r="D216" s="37"/>
      <c r="E216" s="37"/>
      <c r="F216" s="37"/>
      <c r="G216" s="37"/>
      <c r="H216" s="37"/>
    </row>
    <row r="217" spans="1:8" ht="15.75" customHeight="1">
      <c r="A217" s="81"/>
      <c r="B217" s="81"/>
      <c r="D217" s="37"/>
      <c r="E217" s="37"/>
      <c r="F217" s="37"/>
      <c r="G217" s="37"/>
      <c r="H217" s="37"/>
    </row>
    <row r="218" spans="1:8" ht="15.75" customHeight="1">
      <c r="A218" s="81"/>
      <c r="B218" s="81"/>
      <c r="D218" s="37"/>
      <c r="E218" s="37"/>
      <c r="F218" s="37"/>
      <c r="G218" s="37"/>
      <c r="H218" s="37"/>
    </row>
    <row r="219" spans="1:8" ht="15.75" customHeight="1">
      <c r="A219" s="81"/>
      <c r="B219" s="81"/>
      <c r="D219" s="37"/>
      <c r="E219" s="37"/>
      <c r="F219" s="37"/>
      <c r="G219" s="37"/>
      <c r="H219" s="37"/>
    </row>
    <row r="220" spans="1:8" ht="15.75" customHeight="1">
      <c r="A220" s="81"/>
      <c r="B220" s="81"/>
      <c r="D220" s="37"/>
      <c r="E220" s="37"/>
      <c r="F220" s="37"/>
      <c r="G220" s="37"/>
      <c r="H220" s="37"/>
    </row>
    <row r="221" spans="1:8" ht="15.75" customHeight="1">
      <c r="A221" s="81"/>
      <c r="B221" s="81"/>
      <c r="D221" s="37"/>
      <c r="E221" s="37"/>
      <c r="F221" s="37"/>
      <c r="G221" s="37"/>
      <c r="H221" s="37"/>
    </row>
    <row r="222" spans="1:8" ht="15.75" customHeight="1">
      <c r="A222" s="81"/>
      <c r="B222" s="81"/>
      <c r="D222" s="37"/>
      <c r="E222" s="37"/>
      <c r="F222" s="37"/>
      <c r="G222" s="37"/>
      <c r="H222" s="37"/>
    </row>
    <row r="223" spans="1:8" ht="15.75" customHeight="1">
      <c r="A223" s="81"/>
      <c r="B223" s="81"/>
      <c r="D223" s="37"/>
      <c r="E223" s="37"/>
      <c r="F223" s="37"/>
      <c r="G223" s="37"/>
      <c r="H223" s="37"/>
    </row>
    <row r="224" spans="1:8" ht="15.75" customHeight="1">
      <c r="A224" s="81"/>
      <c r="B224" s="81"/>
      <c r="D224" s="37"/>
      <c r="E224" s="37"/>
      <c r="F224" s="37"/>
      <c r="G224" s="37"/>
      <c r="H224" s="37"/>
    </row>
    <row r="225" spans="1:8" ht="15.75" customHeight="1">
      <c r="A225" s="81"/>
      <c r="B225" s="81"/>
      <c r="D225" s="37"/>
      <c r="E225" s="37"/>
      <c r="F225" s="37"/>
      <c r="G225" s="37"/>
      <c r="H225" s="37"/>
    </row>
    <row r="226" spans="1:8" ht="15.75" customHeight="1">
      <c r="A226" s="81"/>
      <c r="B226" s="81"/>
      <c r="D226" s="37"/>
      <c r="E226" s="37"/>
      <c r="F226" s="37"/>
      <c r="G226" s="37"/>
      <c r="H226" s="37"/>
    </row>
    <row r="227" spans="1:8" ht="15.75" customHeight="1">
      <c r="A227" s="81"/>
      <c r="B227" s="81"/>
      <c r="D227" s="37"/>
      <c r="E227" s="37"/>
      <c r="F227" s="37"/>
      <c r="G227" s="37"/>
      <c r="H227" s="37"/>
    </row>
    <row r="228" spans="1:8" ht="15.75" customHeight="1">
      <c r="A228" s="81"/>
      <c r="B228" s="81"/>
      <c r="D228" s="37"/>
      <c r="E228" s="37"/>
      <c r="F228" s="37"/>
      <c r="G228" s="37"/>
      <c r="H228" s="37"/>
    </row>
    <row r="229" spans="1:8" ht="15.75" customHeight="1">
      <c r="A229" s="81"/>
      <c r="B229" s="81"/>
      <c r="D229" s="37"/>
      <c r="E229" s="37"/>
      <c r="F229" s="37"/>
      <c r="G229" s="37"/>
      <c r="H229" s="37"/>
    </row>
    <row r="230" spans="1:8" ht="15.75" customHeight="1">
      <c r="A230" s="81"/>
      <c r="B230" s="81"/>
      <c r="D230" s="37"/>
      <c r="E230" s="37"/>
      <c r="F230" s="37"/>
      <c r="G230" s="37"/>
      <c r="H230" s="37"/>
    </row>
    <row r="231" spans="1:8" ht="15.75" customHeight="1">
      <c r="A231" s="81"/>
      <c r="B231" s="81"/>
      <c r="D231" s="37"/>
      <c r="E231" s="37"/>
      <c r="F231" s="37"/>
      <c r="G231" s="37"/>
      <c r="H231" s="37"/>
    </row>
    <row r="232" spans="1:8" ht="15.75" customHeight="1">
      <c r="A232" s="81"/>
      <c r="B232" s="81"/>
      <c r="D232" s="37"/>
      <c r="E232" s="37"/>
      <c r="F232" s="37"/>
      <c r="G232" s="37"/>
      <c r="H232" s="37"/>
    </row>
    <row r="233" spans="1:8" ht="15.75" customHeight="1">
      <c r="A233" s="81"/>
      <c r="B233" s="81"/>
      <c r="D233" s="37"/>
      <c r="E233" s="37"/>
      <c r="F233" s="37"/>
      <c r="G233" s="37"/>
      <c r="H233" s="37"/>
    </row>
    <row r="234" spans="1:8" ht="15.75" customHeight="1">
      <c r="A234" s="81"/>
      <c r="B234" s="81"/>
      <c r="D234" s="37"/>
      <c r="E234" s="37"/>
      <c r="F234" s="37"/>
      <c r="G234" s="37"/>
      <c r="H234" s="37"/>
    </row>
    <row r="235" spans="1:8" ht="15.75" customHeight="1">
      <c r="A235" s="81"/>
      <c r="B235" s="81"/>
      <c r="D235" s="37"/>
      <c r="E235" s="37"/>
      <c r="F235" s="37"/>
      <c r="G235" s="37"/>
      <c r="H235" s="37"/>
    </row>
    <row r="236" spans="1:8" ht="15.75" customHeight="1">
      <c r="A236" s="81"/>
      <c r="B236" s="81"/>
      <c r="D236" s="37"/>
      <c r="E236" s="37"/>
      <c r="F236" s="37"/>
      <c r="G236" s="37"/>
      <c r="H236" s="37"/>
    </row>
    <row r="237" spans="1:8" ht="15.75" customHeight="1">
      <c r="A237" s="81"/>
      <c r="B237" s="81"/>
      <c r="D237" s="37"/>
      <c r="E237" s="37"/>
      <c r="F237" s="37"/>
      <c r="G237" s="37"/>
      <c r="H237" s="37"/>
    </row>
    <row r="238" spans="1:8" ht="15.75" customHeight="1">
      <c r="A238" s="81"/>
      <c r="B238" s="81"/>
      <c r="D238" s="37"/>
      <c r="E238" s="37"/>
      <c r="F238" s="37"/>
      <c r="G238" s="37"/>
      <c r="H238" s="37"/>
    </row>
    <row r="239" spans="1:8" ht="15.75" customHeight="1">
      <c r="A239" s="81"/>
      <c r="B239" s="81"/>
      <c r="D239" s="37"/>
      <c r="E239" s="37"/>
      <c r="F239" s="37"/>
      <c r="G239" s="37"/>
      <c r="H239" s="37"/>
    </row>
    <row r="240" spans="1:8" ht="15.75" customHeight="1">
      <c r="A240" s="81"/>
      <c r="B240" s="81"/>
      <c r="D240" s="37"/>
      <c r="E240" s="37"/>
      <c r="F240" s="37"/>
      <c r="G240" s="37"/>
      <c r="H240" s="37"/>
    </row>
    <row r="241" spans="1:8" ht="15.75" customHeight="1">
      <c r="A241" s="81"/>
      <c r="B241" s="81"/>
      <c r="D241" s="37"/>
      <c r="E241" s="37"/>
      <c r="F241" s="37"/>
      <c r="G241" s="37"/>
      <c r="H241" s="37"/>
    </row>
    <row r="242" spans="1:8" ht="15.75" customHeight="1">
      <c r="A242" s="81"/>
      <c r="B242" s="81"/>
      <c r="D242" s="37"/>
      <c r="E242" s="37"/>
      <c r="F242" s="37"/>
      <c r="G242" s="37"/>
      <c r="H242" s="37"/>
    </row>
    <row r="243" spans="1:8" ht="15.75" customHeight="1">
      <c r="B243" s="81"/>
    </row>
    <row r="244" spans="1:8" ht="15.75" customHeight="1"/>
    <row r="245" spans="1:8" ht="15.75" customHeight="1"/>
    <row r="246" spans="1:8" ht="15.75" customHeight="1"/>
    <row r="247" spans="1:8" ht="15.75" customHeight="1"/>
    <row r="248" spans="1:8" ht="15.75" customHeight="1"/>
    <row r="249" spans="1:8" ht="15.75" customHeight="1"/>
    <row r="250" spans="1:8" ht="15.75" customHeight="1"/>
    <row r="251" spans="1:8" ht="15.75" customHeight="1"/>
    <row r="252" spans="1:8" ht="15.75" customHeight="1"/>
    <row r="253" spans="1:8" ht="15.75" customHeight="1"/>
    <row r="254" spans="1:8" ht="15.75" customHeight="1"/>
    <row r="255" spans="1:8" ht="15.75" customHeight="1"/>
    <row r="256" spans="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J32" xr:uid="{00000000-0009-0000-0000-000006000000}"/>
  <mergeCells count="17">
    <mergeCell ref="A5:K5"/>
    <mergeCell ref="A6:H6"/>
    <mergeCell ref="A41:J41"/>
    <mergeCell ref="A42:J42"/>
    <mergeCell ref="A43:J43"/>
    <mergeCell ref="A36:C37"/>
    <mergeCell ref="I36:J36"/>
    <mergeCell ref="A38:C38"/>
    <mergeCell ref="D38:J38"/>
    <mergeCell ref="A39:J39"/>
    <mergeCell ref="A40:J40"/>
    <mergeCell ref="C1:I3"/>
    <mergeCell ref="J1:K1"/>
    <mergeCell ref="J2:K2"/>
    <mergeCell ref="J3:K3"/>
    <mergeCell ref="B4:K4"/>
    <mergeCell ref="A1:B3"/>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AA1000"/>
  <sheetViews>
    <sheetView workbookViewId="0">
      <selection sqref="A1:A3"/>
    </sheetView>
  </sheetViews>
  <sheetFormatPr baseColWidth="10" defaultColWidth="14.42578125" defaultRowHeight="15" customHeight="1"/>
  <cols>
    <col min="1" max="1" width="24.7109375" customWidth="1"/>
    <col min="2" max="2" width="20" customWidth="1"/>
    <col min="3" max="3" width="8.42578125" customWidth="1"/>
    <col min="4" max="4" width="16.28515625" customWidth="1"/>
    <col min="5" max="5" width="16.85546875" customWidth="1"/>
    <col min="6" max="10" width="16.5703125" customWidth="1"/>
    <col min="11" max="11" width="28" customWidth="1"/>
    <col min="12" max="12" width="16.5703125" customWidth="1"/>
  </cols>
  <sheetData>
    <row r="1" spans="1:14" ht="21" customHeight="1">
      <c r="A1" s="127"/>
      <c r="B1" s="129" t="s">
        <v>32</v>
      </c>
      <c r="C1" s="130"/>
      <c r="D1" s="130"/>
      <c r="E1" s="130"/>
      <c r="F1" s="130"/>
      <c r="G1" s="130"/>
      <c r="H1" s="130"/>
      <c r="I1" s="130"/>
      <c r="J1" s="131"/>
      <c r="K1" s="137" t="s">
        <v>33</v>
      </c>
      <c r="L1" s="138"/>
    </row>
    <row r="2" spans="1:14" ht="21" customHeight="1">
      <c r="A2" s="128"/>
      <c r="B2" s="132"/>
      <c r="C2" s="128"/>
      <c r="D2" s="128"/>
      <c r="E2" s="128"/>
      <c r="F2" s="128"/>
      <c r="G2" s="128"/>
      <c r="H2" s="128"/>
      <c r="I2" s="128"/>
      <c r="J2" s="133"/>
      <c r="K2" s="137" t="s">
        <v>34</v>
      </c>
      <c r="L2" s="138"/>
    </row>
    <row r="3" spans="1:14" ht="21" customHeight="1">
      <c r="A3" s="135"/>
      <c r="B3" s="134"/>
      <c r="C3" s="135"/>
      <c r="D3" s="135"/>
      <c r="E3" s="135"/>
      <c r="F3" s="135"/>
      <c r="G3" s="135"/>
      <c r="H3" s="135"/>
      <c r="I3" s="135"/>
      <c r="J3" s="136"/>
      <c r="K3" s="137" t="s">
        <v>35</v>
      </c>
      <c r="L3" s="138"/>
    </row>
    <row r="4" spans="1:14" ht="31.5" customHeight="1">
      <c r="A4" s="1" t="s">
        <v>4</v>
      </c>
      <c r="B4" s="148" t="s">
        <v>5</v>
      </c>
      <c r="C4" s="140"/>
      <c r="D4" s="140"/>
      <c r="E4" s="140"/>
      <c r="F4" s="140"/>
      <c r="G4" s="140"/>
      <c r="H4" s="140"/>
      <c r="I4" s="140"/>
      <c r="J4" s="140"/>
      <c r="K4" s="140"/>
      <c r="L4" s="138"/>
    </row>
    <row r="5" spans="1:14" ht="31.5" customHeight="1">
      <c r="A5" s="141" t="s">
        <v>36</v>
      </c>
      <c r="B5" s="140"/>
      <c r="C5" s="140"/>
      <c r="D5" s="140"/>
      <c r="E5" s="140"/>
      <c r="F5" s="140"/>
      <c r="G5" s="140"/>
      <c r="H5" s="140"/>
      <c r="I5" s="140"/>
      <c r="J5" s="140"/>
      <c r="K5" s="140"/>
      <c r="L5" s="138"/>
    </row>
    <row r="6" spans="1:14" ht="31.5" customHeight="1">
      <c r="A6" s="141" t="s">
        <v>7</v>
      </c>
      <c r="B6" s="140"/>
      <c r="C6" s="140"/>
      <c r="D6" s="140"/>
      <c r="E6" s="140"/>
      <c r="F6" s="140"/>
      <c r="G6" s="140"/>
      <c r="H6" s="140"/>
      <c r="I6" s="140"/>
      <c r="J6" s="138"/>
      <c r="K6" s="38" t="s">
        <v>8</v>
      </c>
      <c r="L6" s="39" t="s">
        <v>37</v>
      </c>
    </row>
    <row r="7" spans="1:14" ht="50.25" customHeight="1">
      <c r="A7" s="40" t="s">
        <v>11</v>
      </c>
      <c r="B7" s="41" t="s">
        <v>12</v>
      </c>
      <c r="C7" s="40" t="s">
        <v>38</v>
      </c>
      <c r="D7" s="40" t="s">
        <v>39</v>
      </c>
      <c r="E7" s="40" t="s">
        <v>40</v>
      </c>
      <c r="F7" s="40" t="s">
        <v>41</v>
      </c>
      <c r="G7" s="40" t="s">
        <v>42</v>
      </c>
      <c r="H7" s="40" t="s">
        <v>43</v>
      </c>
      <c r="I7" s="40" t="s">
        <v>44</v>
      </c>
      <c r="J7" s="40" t="s">
        <v>45</v>
      </c>
      <c r="K7" s="40" t="s">
        <v>46</v>
      </c>
      <c r="L7" s="40" t="s">
        <v>47</v>
      </c>
      <c r="M7" s="106" t="s">
        <v>21</v>
      </c>
    </row>
    <row r="8" spans="1:14">
      <c r="A8" s="94"/>
      <c r="B8" s="68"/>
      <c r="C8" s="14"/>
      <c r="D8" s="14"/>
      <c r="E8" s="14"/>
      <c r="F8" s="14"/>
      <c r="G8" s="14"/>
      <c r="H8" s="14"/>
      <c r="I8" s="14"/>
      <c r="J8" s="14"/>
      <c r="K8" s="80"/>
      <c r="L8" s="52"/>
      <c r="M8" s="10"/>
    </row>
    <row r="9" spans="1:14">
      <c r="A9" s="94"/>
      <c r="B9" s="68"/>
      <c r="C9" s="14"/>
      <c r="D9" s="14"/>
      <c r="E9" s="14"/>
      <c r="F9" s="14"/>
      <c r="G9" s="14"/>
      <c r="H9" s="14"/>
      <c r="I9" s="14"/>
      <c r="J9" s="9"/>
      <c r="K9" s="10"/>
      <c r="L9" s="10"/>
      <c r="M9" s="45"/>
    </row>
    <row r="10" spans="1:14">
      <c r="A10" s="94"/>
      <c r="B10" s="68"/>
      <c r="C10" s="14"/>
      <c r="D10" s="14"/>
      <c r="E10" s="14"/>
      <c r="F10" s="14"/>
      <c r="G10" s="14"/>
      <c r="H10" s="14"/>
      <c r="I10" s="14"/>
      <c r="J10" s="9"/>
      <c r="K10" s="10"/>
      <c r="L10" s="107"/>
      <c r="M10" s="10"/>
      <c r="N10" s="97"/>
    </row>
    <row r="11" spans="1:14">
      <c r="A11" s="94"/>
      <c r="B11" s="68"/>
      <c r="C11" s="14"/>
      <c r="D11" s="14"/>
      <c r="E11" s="14"/>
      <c r="F11" s="14"/>
      <c r="G11" s="14"/>
      <c r="H11" s="14"/>
      <c r="I11" s="14"/>
      <c r="J11" s="9"/>
      <c r="K11" s="9"/>
      <c r="L11" s="9"/>
      <c r="M11" s="10"/>
    </row>
    <row r="12" spans="1:14">
      <c r="A12" s="94"/>
      <c r="B12" s="68"/>
      <c r="C12" s="14"/>
      <c r="D12" s="14"/>
      <c r="E12" s="14"/>
      <c r="F12" s="14"/>
      <c r="G12" s="14"/>
      <c r="H12" s="14"/>
      <c r="I12" s="82"/>
      <c r="J12" s="53"/>
      <c r="K12" s="108"/>
      <c r="L12" s="53"/>
      <c r="M12" s="10"/>
    </row>
    <row r="13" spans="1:14">
      <c r="A13" s="94"/>
      <c r="B13" s="109"/>
      <c r="C13" s="9"/>
      <c r="D13" s="14"/>
      <c r="E13" s="14"/>
      <c r="F13" s="14"/>
      <c r="G13" s="14"/>
      <c r="H13" s="14"/>
      <c r="I13" s="82"/>
      <c r="J13" s="53"/>
      <c r="K13" s="108"/>
      <c r="L13" s="53"/>
    </row>
    <row r="14" spans="1:14">
      <c r="A14" s="94"/>
      <c r="B14" s="9"/>
      <c r="C14" s="110"/>
      <c r="D14" s="14"/>
      <c r="E14" s="14"/>
      <c r="F14" s="14"/>
      <c r="G14" s="14"/>
      <c r="H14" s="14"/>
      <c r="I14" s="82"/>
      <c r="J14" s="53"/>
      <c r="K14" s="53"/>
      <c r="L14" s="57"/>
    </row>
    <row r="15" spans="1:14">
      <c r="A15" s="94"/>
      <c r="B15" s="9"/>
      <c r="C15" s="110"/>
      <c r="D15" s="14"/>
      <c r="E15" s="14"/>
      <c r="F15" s="14"/>
      <c r="G15" s="14"/>
      <c r="H15" s="14"/>
      <c r="I15" s="82"/>
      <c r="J15" s="53"/>
      <c r="K15" s="53"/>
      <c r="L15" s="53"/>
    </row>
    <row r="16" spans="1:14">
      <c r="A16" s="94"/>
      <c r="B16" s="9"/>
      <c r="C16" s="110"/>
      <c r="D16" s="14"/>
      <c r="E16" s="14"/>
      <c r="F16" s="14"/>
      <c r="G16" s="14"/>
      <c r="H16" s="14"/>
      <c r="I16" s="82"/>
      <c r="J16" s="53"/>
      <c r="K16" s="53"/>
      <c r="L16" s="53"/>
    </row>
    <row r="17" spans="1:27">
      <c r="A17" s="94"/>
      <c r="B17" s="9"/>
      <c r="C17" s="110"/>
      <c r="D17" s="53"/>
      <c r="E17" s="53"/>
      <c r="F17" s="53"/>
      <c r="G17" s="53"/>
      <c r="H17" s="53"/>
      <c r="I17" s="53"/>
      <c r="J17" s="53"/>
      <c r="K17" s="53"/>
      <c r="L17" s="53"/>
    </row>
    <row r="18" spans="1:27">
      <c r="A18" s="94"/>
      <c r="B18" s="9"/>
      <c r="C18" s="110"/>
      <c r="D18" s="53"/>
      <c r="E18" s="53"/>
      <c r="F18" s="53"/>
      <c r="G18" s="53"/>
      <c r="H18" s="53"/>
      <c r="I18" s="53"/>
      <c r="J18" s="53"/>
      <c r="K18" s="53"/>
      <c r="L18" s="53"/>
    </row>
    <row r="19" spans="1:27">
      <c r="A19" s="94"/>
      <c r="B19" s="9"/>
      <c r="C19" s="110"/>
      <c r="D19" s="53"/>
      <c r="E19" s="53"/>
      <c r="F19" s="53"/>
      <c r="G19" s="53"/>
      <c r="H19" s="53"/>
      <c r="I19" s="53"/>
      <c r="J19" s="53"/>
      <c r="K19" s="53"/>
      <c r="L19" s="53"/>
      <c r="M19" s="37"/>
      <c r="N19" s="37"/>
      <c r="O19" s="37"/>
      <c r="P19" s="37"/>
      <c r="Q19" s="37"/>
      <c r="R19" s="37"/>
      <c r="S19" s="37"/>
      <c r="T19" s="37"/>
      <c r="U19" s="37"/>
      <c r="V19" s="37"/>
      <c r="W19" s="37"/>
      <c r="X19" s="37"/>
      <c r="Y19" s="37"/>
      <c r="Z19" s="37"/>
      <c r="AA19" s="37"/>
    </row>
    <row r="20" spans="1:27">
      <c r="A20" s="67"/>
      <c r="B20" s="9"/>
      <c r="C20" s="110"/>
      <c r="D20" s="53"/>
      <c r="E20" s="53"/>
      <c r="F20" s="53"/>
      <c r="G20" s="53"/>
      <c r="H20" s="53"/>
      <c r="I20" s="53"/>
      <c r="J20" s="53"/>
      <c r="K20" s="53"/>
      <c r="L20" s="53"/>
      <c r="M20" s="37"/>
      <c r="N20" s="37"/>
      <c r="O20" s="37"/>
      <c r="P20" s="37"/>
      <c r="Q20" s="37"/>
      <c r="R20" s="37"/>
      <c r="S20" s="37"/>
      <c r="T20" s="37"/>
      <c r="U20" s="37"/>
      <c r="V20" s="37"/>
      <c r="W20" s="37"/>
      <c r="X20" s="37"/>
      <c r="Y20" s="37"/>
      <c r="Z20" s="37"/>
      <c r="AA20" s="37"/>
    </row>
    <row r="21" spans="1:27" ht="15.75" customHeight="1">
      <c r="A21" s="67"/>
      <c r="B21" s="9"/>
      <c r="C21" s="110"/>
      <c r="D21" s="53"/>
      <c r="E21" s="53"/>
      <c r="F21" s="53"/>
      <c r="G21" s="53"/>
      <c r="H21" s="53"/>
      <c r="I21" s="53"/>
      <c r="J21" s="53"/>
      <c r="K21" s="53"/>
      <c r="L21" s="53"/>
      <c r="M21" s="37"/>
      <c r="N21" s="37"/>
      <c r="O21" s="37"/>
      <c r="P21" s="37"/>
      <c r="Q21" s="37"/>
      <c r="R21" s="37"/>
      <c r="S21" s="37"/>
      <c r="T21" s="37"/>
      <c r="U21" s="37"/>
      <c r="V21" s="37"/>
      <c r="W21" s="37"/>
      <c r="X21" s="37"/>
      <c r="Y21" s="37"/>
      <c r="Z21" s="37"/>
      <c r="AA21" s="37"/>
    </row>
    <row r="22" spans="1:27" ht="15.75" customHeight="1">
      <c r="A22" s="67"/>
      <c r="B22" s="9"/>
      <c r="C22" s="110"/>
      <c r="D22" s="53"/>
      <c r="E22" s="53"/>
      <c r="F22" s="53"/>
      <c r="G22" s="53"/>
      <c r="H22" s="53"/>
      <c r="I22" s="53"/>
      <c r="J22" s="53"/>
      <c r="K22" s="53"/>
      <c r="L22" s="53"/>
      <c r="M22" s="37"/>
      <c r="N22" s="37"/>
      <c r="O22" s="37"/>
      <c r="P22" s="37"/>
      <c r="Q22" s="37"/>
      <c r="R22" s="37"/>
      <c r="S22" s="37"/>
      <c r="T22" s="37"/>
      <c r="U22" s="37"/>
      <c r="V22" s="37"/>
      <c r="W22" s="37"/>
      <c r="X22" s="37"/>
      <c r="Y22" s="37"/>
      <c r="Z22" s="37"/>
      <c r="AA22" s="37"/>
    </row>
    <row r="23" spans="1:27" ht="15.75" customHeight="1">
      <c r="A23" s="67"/>
      <c r="B23" s="9"/>
      <c r="C23" s="110"/>
      <c r="D23" s="53"/>
      <c r="E23" s="53"/>
      <c r="F23" s="53"/>
      <c r="G23" s="53"/>
      <c r="H23" s="53"/>
      <c r="I23" s="53"/>
      <c r="J23" s="53"/>
      <c r="K23" s="53"/>
      <c r="L23" s="53"/>
    </row>
    <row r="24" spans="1:27" ht="15.75" customHeight="1">
      <c r="A24" s="67"/>
      <c r="B24" s="9"/>
      <c r="C24" s="110"/>
      <c r="D24" s="53"/>
      <c r="E24" s="53"/>
      <c r="F24" s="53"/>
      <c r="G24" s="53"/>
      <c r="H24" s="53"/>
      <c r="I24" s="53"/>
      <c r="J24" s="53"/>
      <c r="K24" s="53"/>
      <c r="L24" s="53"/>
    </row>
    <row r="25" spans="1:27" ht="15.75" customHeight="1">
      <c r="A25" s="101"/>
      <c r="B25" s="104"/>
      <c r="C25" s="59"/>
      <c r="D25" s="53"/>
      <c r="E25" s="53"/>
      <c r="F25" s="53"/>
      <c r="G25" s="53"/>
      <c r="H25" s="53"/>
      <c r="I25" s="53"/>
      <c r="J25" s="53"/>
      <c r="K25" s="53"/>
      <c r="L25" s="53"/>
    </row>
    <row r="26" spans="1:27" ht="15.75" customHeight="1">
      <c r="A26" s="150">
        <f>SUM(C8:C25)</f>
        <v>0</v>
      </c>
      <c r="B26" s="130"/>
      <c r="C26" s="131"/>
      <c r="D26" s="60">
        <f t="shared" ref="D26:I26" si="0">(COUNTIF(D8:D25,"SI")*1+COUNTIF(D8:D25,"NO")*0+COUNTIF(D8:D25,"NA")*0)</f>
        <v>0</v>
      </c>
      <c r="E26" s="60">
        <f t="shared" si="0"/>
        <v>0</v>
      </c>
      <c r="F26" s="60">
        <f t="shared" si="0"/>
        <v>0</v>
      </c>
      <c r="G26" s="60">
        <f t="shared" si="0"/>
        <v>0</v>
      </c>
      <c r="H26" s="60">
        <f t="shared" si="0"/>
        <v>0</v>
      </c>
      <c r="I26" s="60">
        <f t="shared" si="0"/>
        <v>0</v>
      </c>
      <c r="J26" s="151"/>
      <c r="K26" s="130"/>
      <c r="L26" s="131"/>
    </row>
    <row r="27" spans="1:27" ht="15.75" customHeight="1">
      <c r="A27" s="134"/>
      <c r="B27" s="135"/>
      <c r="C27" s="136"/>
      <c r="D27" s="61" t="e">
        <f>(D26/A26)*100</f>
        <v>#DIV/0!</v>
      </c>
      <c r="E27" s="61" t="e">
        <f>(E26/A26)*100</f>
        <v>#DIV/0!</v>
      </c>
      <c r="F27" s="61" t="e">
        <f>(F26/A26)*100</f>
        <v>#DIV/0!</v>
      </c>
      <c r="G27" s="61" t="e">
        <f>(G26/A26)*100</f>
        <v>#DIV/0!</v>
      </c>
      <c r="H27" s="61" t="e">
        <f>(H26/A26)*100</f>
        <v>#DIV/0!</v>
      </c>
      <c r="I27" s="61" t="e">
        <f>(I26/A26)*100</f>
        <v>#DIV/0!</v>
      </c>
      <c r="J27" s="132"/>
      <c r="K27" s="128"/>
      <c r="L27" s="133"/>
    </row>
    <row r="28" spans="1:27" ht="36" customHeight="1">
      <c r="A28" s="152" t="s">
        <v>26</v>
      </c>
      <c r="B28" s="140"/>
      <c r="C28" s="138"/>
      <c r="D28" s="153" t="e">
        <f>SUM(D27+E27+F27+G27+H27+I27)/6</f>
        <v>#DIV/0!</v>
      </c>
      <c r="E28" s="140"/>
      <c r="F28" s="140"/>
      <c r="G28" s="140"/>
      <c r="H28" s="140"/>
      <c r="I28" s="138"/>
      <c r="J28" s="134"/>
      <c r="K28" s="135"/>
      <c r="L28" s="136"/>
    </row>
    <row r="29" spans="1:27" ht="16.5" customHeight="1">
      <c r="A29" s="149" t="s">
        <v>49</v>
      </c>
      <c r="B29" s="140"/>
      <c r="C29" s="140"/>
      <c r="D29" s="140"/>
      <c r="E29" s="140"/>
      <c r="F29" s="140"/>
      <c r="G29" s="140"/>
      <c r="H29" s="140"/>
      <c r="I29" s="140"/>
      <c r="J29" s="140"/>
      <c r="K29" s="140"/>
      <c r="L29" s="138"/>
    </row>
    <row r="30" spans="1:27" ht="24" customHeight="1">
      <c r="A30" s="147" t="s">
        <v>50</v>
      </c>
      <c r="B30" s="140"/>
      <c r="C30" s="140"/>
      <c r="D30" s="140"/>
      <c r="E30" s="140"/>
      <c r="F30" s="140"/>
      <c r="G30" s="140"/>
      <c r="H30" s="140"/>
      <c r="I30" s="140"/>
      <c r="J30" s="140"/>
      <c r="K30" s="140"/>
      <c r="L30" s="138"/>
    </row>
    <row r="31" spans="1:27" ht="21" customHeight="1">
      <c r="A31" s="142" t="s">
        <v>51</v>
      </c>
      <c r="B31" s="140"/>
      <c r="C31" s="140"/>
      <c r="D31" s="140"/>
      <c r="E31" s="140"/>
      <c r="F31" s="140"/>
      <c r="G31" s="140"/>
      <c r="H31" s="140"/>
      <c r="I31" s="140"/>
      <c r="J31" s="140"/>
      <c r="K31" s="140"/>
      <c r="L31" s="138"/>
    </row>
    <row r="32" spans="1:27" ht="15.75" customHeight="1">
      <c r="A32" s="149" t="s">
        <v>52</v>
      </c>
      <c r="B32" s="140"/>
      <c r="C32" s="140"/>
      <c r="D32" s="140"/>
      <c r="E32" s="140"/>
      <c r="F32" s="140"/>
      <c r="G32" s="140"/>
      <c r="H32" s="140"/>
      <c r="I32" s="140"/>
      <c r="J32" s="140"/>
      <c r="K32" s="140"/>
      <c r="L32" s="138"/>
    </row>
    <row r="33" spans="1:12" ht="15.75" customHeight="1">
      <c r="A33" s="149" t="s">
        <v>53</v>
      </c>
      <c r="B33" s="140"/>
      <c r="C33" s="140"/>
      <c r="D33" s="140"/>
      <c r="E33" s="140"/>
      <c r="F33" s="140"/>
      <c r="G33" s="140"/>
      <c r="H33" s="140"/>
      <c r="I33" s="140"/>
      <c r="J33" s="140"/>
      <c r="K33" s="140"/>
      <c r="L33" s="138"/>
    </row>
    <row r="34" spans="1:12" ht="15.75" customHeight="1">
      <c r="A34" s="149" t="s">
        <v>54</v>
      </c>
      <c r="B34" s="140"/>
      <c r="C34" s="140"/>
      <c r="D34" s="140"/>
      <c r="E34" s="140"/>
      <c r="F34" s="140"/>
      <c r="G34" s="140"/>
      <c r="H34" s="140"/>
      <c r="I34" s="140"/>
      <c r="J34" s="140"/>
      <c r="K34" s="140"/>
      <c r="L34" s="138"/>
    </row>
    <row r="35" spans="1:12" ht="15.75" customHeight="1">
      <c r="D35" s="37"/>
      <c r="E35" s="37"/>
      <c r="F35" s="37"/>
      <c r="G35" s="37"/>
      <c r="H35" s="37"/>
      <c r="I35" s="37"/>
      <c r="J35" s="37"/>
      <c r="K35" s="111" t="s">
        <v>76</v>
      </c>
      <c r="L35" s="37"/>
    </row>
    <row r="36" spans="1:12" ht="15.75" customHeight="1">
      <c r="D36" s="37"/>
      <c r="E36" s="37"/>
      <c r="F36" s="37"/>
      <c r="G36" s="37"/>
      <c r="H36" s="37"/>
      <c r="I36" s="37"/>
      <c r="J36" s="37"/>
      <c r="K36" s="37"/>
      <c r="L36" s="37"/>
    </row>
    <row r="37" spans="1:12" ht="15.75" customHeight="1">
      <c r="D37" s="37"/>
      <c r="E37" s="37"/>
      <c r="F37" s="37"/>
      <c r="G37" s="37"/>
      <c r="H37" s="37"/>
      <c r="I37" s="37"/>
      <c r="J37" s="37"/>
      <c r="K37" s="37"/>
      <c r="L37" s="37"/>
    </row>
    <row r="38" spans="1:12" ht="15.75" customHeight="1">
      <c r="D38" s="37"/>
      <c r="E38" s="37"/>
      <c r="F38" s="37"/>
      <c r="G38" s="37"/>
      <c r="H38" s="37"/>
      <c r="I38" s="37"/>
      <c r="J38" s="37"/>
      <c r="K38" s="37"/>
      <c r="L38" s="37"/>
    </row>
    <row r="39" spans="1:12" ht="15.75" customHeight="1">
      <c r="D39" s="37"/>
      <c r="E39" s="37"/>
      <c r="F39" s="37"/>
      <c r="G39" s="37"/>
      <c r="H39" s="37"/>
      <c r="I39" s="37"/>
      <c r="J39" s="37"/>
      <c r="K39" s="37"/>
      <c r="L39" s="37"/>
    </row>
    <row r="40" spans="1:12" ht="15.75" customHeight="1">
      <c r="D40" s="37"/>
      <c r="E40" s="37"/>
      <c r="F40" s="37"/>
      <c r="G40" s="37"/>
      <c r="H40" s="37"/>
      <c r="I40" s="37"/>
      <c r="J40" s="37"/>
      <c r="K40" s="37"/>
      <c r="L40" s="37"/>
    </row>
    <row r="41" spans="1:12" ht="15.75" customHeight="1">
      <c r="D41" s="37"/>
      <c r="E41" s="37"/>
      <c r="F41" s="37"/>
      <c r="G41" s="37"/>
      <c r="H41" s="37"/>
      <c r="I41" s="37"/>
      <c r="J41" s="37"/>
      <c r="K41" s="37"/>
      <c r="L41" s="37"/>
    </row>
    <row r="42" spans="1:12" ht="15.75" customHeight="1">
      <c r="D42" s="37"/>
      <c r="E42" s="37"/>
      <c r="F42" s="37"/>
      <c r="G42" s="37"/>
      <c r="H42" s="37"/>
      <c r="I42" s="37"/>
      <c r="J42" s="37"/>
      <c r="K42" s="37"/>
      <c r="L42" s="37"/>
    </row>
    <row r="43" spans="1:12" ht="15.75" customHeight="1">
      <c r="D43" s="37"/>
      <c r="E43" s="37"/>
      <c r="F43" s="37"/>
      <c r="G43" s="37"/>
      <c r="H43" s="37"/>
      <c r="I43" s="37"/>
      <c r="J43" s="37"/>
      <c r="K43" s="37"/>
      <c r="L43" s="37"/>
    </row>
    <row r="44" spans="1:12" ht="15.75" customHeight="1">
      <c r="D44" s="37"/>
      <c r="E44" s="37"/>
      <c r="F44" s="37"/>
      <c r="G44" s="37"/>
      <c r="H44" s="37"/>
      <c r="I44" s="37"/>
      <c r="J44" s="37"/>
      <c r="K44" s="37"/>
      <c r="L44" s="37"/>
    </row>
    <row r="45" spans="1:12" ht="15.75" customHeight="1">
      <c r="D45" s="37"/>
      <c r="E45" s="37"/>
      <c r="F45" s="37"/>
      <c r="G45" s="37"/>
      <c r="H45" s="37"/>
      <c r="I45" s="37"/>
      <c r="J45" s="37"/>
      <c r="K45" s="37"/>
      <c r="L45" s="37"/>
    </row>
    <row r="46" spans="1:12" ht="15.75" customHeight="1">
      <c r="D46" s="37"/>
      <c r="E46" s="37"/>
      <c r="F46" s="37"/>
      <c r="G46" s="37"/>
      <c r="H46" s="37"/>
      <c r="I46" s="37"/>
      <c r="J46" s="37"/>
      <c r="K46" s="37"/>
      <c r="L46" s="37"/>
    </row>
    <row r="47" spans="1:12" ht="15.75" customHeight="1">
      <c r="D47" s="37"/>
      <c r="E47" s="37"/>
      <c r="F47" s="37"/>
      <c r="G47" s="37"/>
      <c r="H47" s="37"/>
      <c r="I47" s="37"/>
      <c r="J47" s="37"/>
      <c r="K47" s="37"/>
      <c r="L47" s="37"/>
    </row>
    <row r="48" spans="1:12" ht="15.75" customHeight="1">
      <c r="D48" s="37"/>
      <c r="E48" s="37"/>
      <c r="F48" s="37"/>
      <c r="G48" s="37"/>
      <c r="H48" s="37"/>
      <c r="I48" s="37"/>
      <c r="J48" s="37"/>
      <c r="K48" s="37"/>
      <c r="L48" s="37"/>
    </row>
    <row r="49" spans="4:12" ht="15.75" customHeight="1">
      <c r="D49" s="37"/>
      <c r="E49" s="37"/>
      <c r="F49" s="37"/>
      <c r="G49" s="37"/>
      <c r="H49" s="37"/>
      <c r="I49" s="37"/>
      <c r="J49" s="37"/>
      <c r="K49" s="37"/>
      <c r="L49" s="37"/>
    </row>
    <row r="50" spans="4:12" ht="15.75" customHeight="1">
      <c r="D50" s="37"/>
      <c r="E50" s="37"/>
      <c r="F50" s="37"/>
      <c r="G50" s="37"/>
      <c r="H50" s="37"/>
      <c r="I50" s="37"/>
      <c r="J50" s="37"/>
      <c r="K50" s="37"/>
      <c r="L50" s="37"/>
    </row>
    <row r="51" spans="4:12" ht="15.75" customHeight="1">
      <c r="D51" s="37"/>
      <c r="E51" s="37"/>
      <c r="F51" s="37"/>
      <c r="G51" s="37"/>
      <c r="H51" s="37"/>
      <c r="I51" s="37"/>
      <c r="J51" s="37"/>
      <c r="K51" s="37"/>
      <c r="L51" s="37"/>
    </row>
    <row r="52" spans="4:12" ht="15.75" customHeight="1">
      <c r="D52" s="37"/>
      <c r="E52" s="37"/>
      <c r="F52" s="37"/>
      <c r="G52" s="37"/>
      <c r="H52" s="37"/>
      <c r="I52" s="37"/>
      <c r="J52" s="37"/>
      <c r="K52" s="37"/>
      <c r="L52" s="37"/>
    </row>
    <row r="53" spans="4:12" ht="15.75" customHeight="1">
      <c r="D53" s="37"/>
      <c r="E53" s="37"/>
      <c r="F53" s="37"/>
      <c r="G53" s="37"/>
      <c r="H53" s="37"/>
      <c r="I53" s="37"/>
      <c r="J53" s="37"/>
      <c r="K53" s="37"/>
      <c r="L53" s="37"/>
    </row>
    <row r="54" spans="4:12" ht="15.75" customHeight="1">
      <c r="D54" s="37"/>
      <c r="E54" s="37"/>
      <c r="F54" s="37"/>
      <c r="G54" s="37"/>
      <c r="H54" s="37"/>
      <c r="I54" s="37"/>
      <c r="J54" s="37"/>
      <c r="K54" s="37"/>
      <c r="L54" s="37"/>
    </row>
    <row r="55" spans="4:12" ht="15.75" customHeight="1">
      <c r="D55" s="37"/>
      <c r="E55" s="37"/>
      <c r="F55" s="37"/>
      <c r="G55" s="37"/>
      <c r="H55" s="37"/>
      <c r="I55" s="37"/>
      <c r="J55" s="37"/>
      <c r="K55" s="37"/>
      <c r="L55" s="37"/>
    </row>
    <row r="56" spans="4:12" ht="15.75" customHeight="1">
      <c r="D56" s="37"/>
      <c r="E56" s="37"/>
      <c r="F56" s="37"/>
      <c r="G56" s="37"/>
      <c r="H56" s="37"/>
      <c r="I56" s="37"/>
      <c r="J56" s="37"/>
      <c r="K56" s="37"/>
      <c r="L56" s="37"/>
    </row>
    <row r="57" spans="4:12" ht="15.75" customHeight="1">
      <c r="D57" s="37"/>
      <c r="E57" s="37"/>
      <c r="F57" s="37"/>
      <c r="G57" s="37"/>
      <c r="H57" s="37"/>
      <c r="I57" s="37"/>
      <c r="J57" s="37"/>
      <c r="K57" s="37"/>
      <c r="L57" s="37"/>
    </row>
    <row r="58" spans="4:12" ht="15.75" customHeight="1">
      <c r="D58" s="37"/>
      <c r="E58" s="37"/>
      <c r="F58" s="37"/>
      <c r="G58" s="37"/>
      <c r="H58" s="37"/>
      <c r="I58" s="37"/>
      <c r="J58" s="37"/>
      <c r="K58" s="37"/>
      <c r="L58" s="37"/>
    </row>
    <row r="59" spans="4:12" ht="15.75" customHeight="1">
      <c r="D59" s="37"/>
      <c r="E59" s="37"/>
      <c r="F59" s="37"/>
      <c r="G59" s="37"/>
      <c r="H59" s="37"/>
      <c r="I59" s="37"/>
      <c r="J59" s="37"/>
      <c r="K59" s="37"/>
      <c r="L59" s="37"/>
    </row>
    <row r="60" spans="4:12" ht="15.75" customHeight="1">
      <c r="D60" s="37"/>
      <c r="E60" s="37"/>
      <c r="F60" s="37"/>
      <c r="G60" s="37"/>
      <c r="H60" s="37"/>
      <c r="I60" s="37"/>
      <c r="J60" s="37"/>
      <c r="K60" s="37"/>
      <c r="L60" s="37"/>
    </row>
    <row r="61" spans="4:12" ht="15.75" customHeight="1">
      <c r="D61" s="37"/>
      <c r="E61" s="37"/>
      <c r="F61" s="37"/>
      <c r="G61" s="37"/>
      <c r="H61" s="37"/>
      <c r="I61" s="37"/>
      <c r="J61" s="37"/>
      <c r="K61" s="37"/>
      <c r="L61" s="37"/>
    </row>
    <row r="62" spans="4:12" ht="15.75" customHeight="1">
      <c r="D62" s="37"/>
      <c r="E62" s="37"/>
      <c r="F62" s="37"/>
      <c r="G62" s="37"/>
      <c r="H62" s="37"/>
      <c r="I62" s="37"/>
      <c r="J62" s="37"/>
      <c r="K62" s="37"/>
      <c r="L62" s="37"/>
    </row>
    <row r="63" spans="4:12" ht="15.75" customHeight="1">
      <c r="D63" s="37"/>
      <c r="E63" s="37"/>
      <c r="F63" s="37"/>
      <c r="G63" s="37"/>
      <c r="H63" s="37"/>
      <c r="I63" s="37"/>
      <c r="J63" s="37"/>
      <c r="K63" s="37"/>
      <c r="L63" s="37"/>
    </row>
    <row r="64" spans="4:12" ht="15.75" customHeight="1">
      <c r="D64" s="37"/>
      <c r="E64" s="37"/>
      <c r="F64" s="37"/>
      <c r="G64" s="37"/>
      <c r="H64" s="37"/>
      <c r="I64" s="37"/>
      <c r="J64" s="37"/>
      <c r="K64" s="37"/>
      <c r="L64" s="37"/>
    </row>
    <row r="65" spans="4:12" ht="15.75" customHeight="1">
      <c r="D65" s="37"/>
      <c r="E65" s="37"/>
      <c r="F65" s="37"/>
      <c r="G65" s="37"/>
      <c r="H65" s="37"/>
      <c r="I65" s="37"/>
      <c r="J65" s="37"/>
      <c r="K65" s="37"/>
      <c r="L65" s="37"/>
    </row>
    <row r="66" spans="4:12" ht="15.75" customHeight="1">
      <c r="D66" s="37"/>
      <c r="E66" s="37"/>
      <c r="F66" s="37"/>
      <c r="G66" s="37"/>
      <c r="H66" s="37"/>
      <c r="I66" s="37"/>
      <c r="J66" s="37"/>
      <c r="K66" s="37"/>
      <c r="L66" s="37"/>
    </row>
    <row r="67" spans="4:12" ht="15.75" customHeight="1">
      <c r="D67" s="37"/>
      <c r="E67" s="37"/>
      <c r="F67" s="37"/>
      <c r="G67" s="37"/>
      <c r="H67" s="37"/>
      <c r="I67" s="37"/>
      <c r="J67" s="37"/>
      <c r="K67" s="37"/>
      <c r="L67" s="37"/>
    </row>
    <row r="68" spans="4:12" ht="15.75" customHeight="1">
      <c r="D68" s="37"/>
      <c r="E68" s="37"/>
      <c r="F68" s="37"/>
      <c r="G68" s="37"/>
      <c r="H68" s="37"/>
      <c r="I68" s="37"/>
      <c r="J68" s="37"/>
      <c r="K68" s="37"/>
      <c r="L68" s="37"/>
    </row>
    <row r="69" spans="4:12" ht="15.75" customHeight="1">
      <c r="D69" s="37"/>
      <c r="E69" s="37"/>
      <c r="F69" s="37"/>
      <c r="G69" s="37"/>
      <c r="H69" s="37"/>
      <c r="I69" s="37"/>
      <c r="J69" s="37"/>
      <c r="K69" s="37"/>
      <c r="L69" s="37"/>
    </row>
    <row r="70" spans="4:12" ht="15.75" customHeight="1">
      <c r="D70" s="37"/>
      <c r="E70" s="37"/>
      <c r="F70" s="37"/>
      <c r="G70" s="37"/>
      <c r="H70" s="37"/>
      <c r="I70" s="37"/>
      <c r="J70" s="37"/>
      <c r="K70" s="37"/>
      <c r="L70" s="37"/>
    </row>
    <row r="71" spans="4:12" ht="15.75" customHeight="1">
      <c r="D71" s="37"/>
      <c r="E71" s="37"/>
      <c r="F71" s="37"/>
      <c r="G71" s="37"/>
      <c r="H71" s="37"/>
      <c r="I71" s="37"/>
      <c r="J71" s="37"/>
      <c r="K71" s="37"/>
      <c r="L71" s="37"/>
    </row>
    <row r="72" spans="4:12" ht="15.75" customHeight="1">
      <c r="D72" s="37"/>
      <c r="E72" s="37"/>
      <c r="F72" s="37"/>
      <c r="G72" s="37"/>
      <c r="H72" s="37"/>
      <c r="I72" s="37"/>
      <c r="J72" s="37"/>
      <c r="K72" s="37"/>
      <c r="L72" s="37"/>
    </row>
    <row r="73" spans="4:12" ht="15.75" customHeight="1">
      <c r="D73" s="37"/>
      <c r="E73" s="37"/>
      <c r="F73" s="37"/>
      <c r="G73" s="37"/>
      <c r="H73" s="37"/>
      <c r="I73" s="37"/>
      <c r="J73" s="37"/>
      <c r="K73" s="37"/>
      <c r="L73" s="37"/>
    </row>
    <row r="74" spans="4:12" ht="15.75" customHeight="1">
      <c r="D74" s="37"/>
      <c r="E74" s="37"/>
      <c r="F74" s="37"/>
      <c r="G74" s="37"/>
      <c r="H74" s="37"/>
      <c r="I74" s="37"/>
      <c r="J74" s="37"/>
      <c r="K74" s="37"/>
      <c r="L74" s="37"/>
    </row>
    <row r="75" spans="4:12" ht="15.75" customHeight="1">
      <c r="D75" s="37"/>
      <c r="E75" s="37"/>
      <c r="F75" s="37"/>
      <c r="G75" s="37"/>
      <c r="H75" s="37"/>
      <c r="I75" s="37"/>
      <c r="J75" s="37"/>
      <c r="K75" s="37"/>
      <c r="L75" s="37"/>
    </row>
    <row r="76" spans="4:12" ht="15.75" customHeight="1">
      <c r="D76" s="37"/>
      <c r="E76" s="37"/>
      <c r="F76" s="37"/>
      <c r="G76" s="37"/>
      <c r="H76" s="37"/>
      <c r="I76" s="37"/>
      <c r="J76" s="37"/>
      <c r="K76" s="37"/>
      <c r="L76" s="37"/>
    </row>
    <row r="77" spans="4:12" ht="15.75" customHeight="1">
      <c r="D77" s="37"/>
      <c r="E77" s="37"/>
      <c r="F77" s="37"/>
      <c r="G77" s="37"/>
      <c r="H77" s="37"/>
      <c r="I77" s="37"/>
      <c r="J77" s="37"/>
      <c r="K77" s="37"/>
      <c r="L77" s="37"/>
    </row>
    <row r="78" spans="4:12" ht="15.75" customHeight="1">
      <c r="D78" s="37"/>
      <c r="E78" s="37"/>
      <c r="F78" s="37"/>
      <c r="G78" s="37"/>
      <c r="H78" s="37"/>
      <c r="I78" s="37"/>
      <c r="J78" s="37"/>
      <c r="K78" s="37"/>
      <c r="L78" s="37"/>
    </row>
    <row r="79" spans="4:12" ht="15.75" customHeight="1">
      <c r="D79" s="37"/>
      <c r="E79" s="37"/>
      <c r="F79" s="37"/>
      <c r="G79" s="37"/>
      <c r="H79" s="37"/>
      <c r="I79" s="37"/>
      <c r="J79" s="37"/>
      <c r="K79" s="37"/>
      <c r="L79" s="37"/>
    </row>
    <row r="80" spans="4:12" ht="15.75" customHeight="1">
      <c r="D80" s="37"/>
      <c r="E80" s="37"/>
      <c r="F80" s="37"/>
      <c r="G80" s="37"/>
      <c r="H80" s="37"/>
      <c r="I80" s="37"/>
      <c r="J80" s="37"/>
      <c r="K80" s="37"/>
      <c r="L80" s="37"/>
    </row>
    <row r="81" spans="4:12" ht="15.75" customHeight="1">
      <c r="D81" s="37"/>
      <c r="E81" s="37"/>
      <c r="F81" s="37"/>
      <c r="G81" s="37"/>
      <c r="H81" s="37"/>
      <c r="I81" s="37"/>
      <c r="J81" s="37"/>
      <c r="K81" s="37"/>
      <c r="L81" s="37"/>
    </row>
    <row r="82" spans="4:12" ht="15.75" customHeight="1">
      <c r="D82" s="37"/>
      <c r="E82" s="37"/>
      <c r="F82" s="37"/>
      <c r="G82" s="37"/>
      <c r="H82" s="37"/>
      <c r="I82" s="37"/>
      <c r="J82" s="37"/>
      <c r="K82" s="37"/>
      <c r="L82" s="37"/>
    </row>
    <row r="83" spans="4:12" ht="15.75" customHeight="1">
      <c r="D83" s="37"/>
      <c r="E83" s="37"/>
      <c r="F83" s="37"/>
      <c r="G83" s="37"/>
      <c r="H83" s="37"/>
      <c r="I83" s="37"/>
      <c r="J83" s="37"/>
      <c r="K83" s="37"/>
      <c r="L83" s="37"/>
    </row>
    <row r="84" spans="4:12" ht="15.75" customHeight="1">
      <c r="D84" s="37"/>
      <c r="E84" s="37"/>
      <c r="F84" s="37"/>
      <c r="G84" s="37"/>
      <c r="H84" s="37"/>
      <c r="I84" s="37"/>
      <c r="J84" s="37"/>
      <c r="K84" s="37"/>
      <c r="L84" s="37"/>
    </row>
    <row r="85" spans="4:12" ht="15.75" customHeight="1">
      <c r="D85" s="37"/>
      <c r="E85" s="37"/>
      <c r="F85" s="37"/>
      <c r="G85" s="37"/>
      <c r="H85" s="37"/>
      <c r="I85" s="37"/>
      <c r="J85" s="37"/>
      <c r="K85" s="37"/>
      <c r="L85" s="37"/>
    </row>
    <row r="86" spans="4:12" ht="15.75" customHeight="1">
      <c r="D86" s="37"/>
      <c r="E86" s="37"/>
      <c r="F86" s="37"/>
      <c r="G86" s="37"/>
      <c r="H86" s="37"/>
      <c r="I86" s="37"/>
      <c r="J86" s="37"/>
      <c r="K86" s="37"/>
      <c r="L86" s="37"/>
    </row>
    <row r="87" spans="4:12" ht="15.75" customHeight="1">
      <c r="D87" s="37"/>
      <c r="E87" s="37"/>
      <c r="F87" s="37"/>
      <c r="G87" s="37"/>
      <c r="H87" s="37"/>
      <c r="I87" s="37"/>
      <c r="J87" s="37"/>
      <c r="K87" s="37"/>
      <c r="L87" s="37"/>
    </row>
    <row r="88" spans="4:12" ht="15.75" customHeight="1">
      <c r="D88" s="37"/>
      <c r="E88" s="37"/>
      <c r="F88" s="37"/>
      <c r="G88" s="37"/>
      <c r="H88" s="37"/>
      <c r="I88" s="37"/>
      <c r="J88" s="37"/>
      <c r="K88" s="37"/>
      <c r="L88" s="37"/>
    </row>
    <row r="89" spans="4:12" ht="15.75" customHeight="1">
      <c r="D89" s="37"/>
      <c r="E89" s="37"/>
      <c r="F89" s="37"/>
      <c r="G89" s="37"/>
      <c r="H89" s="37"/>
      <c r="I89" s="37"/>
      <c r="J89" s="37"/>
      <c r="K89" s="37"/>
      <c r="L89" s="37"/>
    </row>
    <row r="90" spans="4:12" ht="15.75" customHeight="1">
      <c r="D90" s="37"/>
      <c r="E90" s="37"/>
      <c r="F90" s="37"/>
      <c r="G90" s="37"/>
      <c r="H90" s="37"/>
      <c r="I90" s="37"/>
      <c r="J90" s="37"/>
      <c r="K90" s="37"/>
      <c r="L90" s="37"/>
    </row>
    <row r="91" spans="4:12" ht="15.75" customHeight="1">
      <c r="D91" s="37"/>
      <c r="E91" s="37"/>
      <c r="F91" s="37"/>
      <c r="G91" s="37"/>
      <c r="H91" s="37"/>
      <c r="I91" s="37"/>
      <c r="J91" s="37"/>
      <c r="K91" s="37"/>
      <c r="L91" s="37"/>
    </row>
    <row r="92" spans="4:12" ht="15.75" customHeight="1">
      <c r="D92" s="37"/>
      <c r="E92" s="37"/>
      <c r="F92" s="37"/>
      <c r="G92" s="37"/>
      <c r="H92" s="37"/>
      <c r="I92" s="37"/>
      <c r="J92" s="37"/>
      <c r="K92" s="37"/>
      <c r="L92" s="37"/>
    </row>
    <row r="93" spans="4:12" ht="15.75" customHeight="1">
      <c r="D93" s="37"/>
      <c r="E93" s="37"/>
      <c r="F93" s="37"/>
      <c r="G93" s="37"/>
      <c r="H93" s="37"/>
      <c r="I93" s="37"/>
      <c r="J93" s="37"/>
      <c r="K93" s="37"/>
      <c r="L93" s="37"/>
    </row>
    <row r="94" spans="4:12" ht="15.75" customHeight="1">
      <c r="D94" s="37"/>
      <c r="E94" s="37"/>
      <c r="F94" s="37"/>
      <c r="G94" s="37"/>
      <c r="H94" s="37"/>
      <c r="I94" s="37"/>
      <c r="J94" s="37"/>
      <c r="K94" s="37"/>
      <c r="L94" s="37"/>
    </row>
    <row r="95" spans="4:12" ht="15.75" customHeight="1">
      <c r="D95" s="37"/>
      <c r="E95" s="37"/>
      <c r="F95" s="37"/>
      <c r="G95" s="37"/>
      <c r="H95" s="37"/>
      <c r="I95" s="37"/>
      <c r="J95" s="37"/>
      <c r="K95" s="37"/>
      <c r="L95" s="37"/>
    </row>
    <row r="96" spans="4:12" ht="15.75" customHeight="1">
      <c r="D96" s="37"/>
      <c r="E96" s="37"/>
      <c r="F96" s="37"/>
      <c r="G96" s="37"/>
      <c r="H96" s="37"/>
      <c r="I96" s="37"/>
      <c r="J96" s="37"/>
      <c r="K96" s="37"/>
      <c r="L96" s="37"/>
    </row>
    <row r="97" spans="4:12" ht="15.75" customHeight="1">
      <c r="D97" s="37"/>
      <c r="E97" s="37"/>
      <c r="F97" s="37"/>
      <c r="G97" s="37"/>
      <c r="H97" s="37"/>
      <c r="I97" s="37"/>
      <c r="J97" s="37"/>
      <c r="K97" s="37"/>
      <c r="L97" s="37"/>
    </row>
    <row r="98" spans="4:12" ht="15.75" customHeight="1">
      <c r="D98" s="37"/>
      <c r="E98" s="37"/>
      <c r="F98" s="37"/>
      <c r="G98" s="37"/>
      <c r="H98" s="37"/>
      <c r="I98" s="37"/>
      <c r="J98" s="37"/>
      <c r="K98" s="37"/>
      <c r="L98" s="37"/>
    </row>
    <row r="99" spans="4:12" ht="15.75" customHeight="1">
      <c r="D99" s="37"/>
      <c r="E99" s="37"/>
      <c r="F99" s="37"/>
      <c r="G99" s="37"/>
      <c r="H99" s="37"/>
      <c r="I99" s="37"/>
      <c r="J99" s="37"/>
      <c r="K99" s="37"/>
      <c r="L99" s="37"/>
    </row>
    <row r="100" spans="4:12" ht="15.75" customHeight="1">
      <c r="D100" s="37"/>
      <c r="E100" s="37"/>
      <c r="F100" s="37"/>
      <c r="G100" s="37"/>
      <c r="H100" s="37"/>
      <c r="I100" s="37"/>
      <c r="J100" s="37"/>
      <c r="K100" s="37"/>
      <c r="L100" s="37"/>
    </row>
    <row r="101" spans="4:12" ht="15.75" customHeight="1">
      <c r="D101" s="37"/>
      <c r="E101" s="37"/>
      <c r="F101" s="37"/>
      <c r="G101" s="37"/>
      <c r="H101" s="37"/>
      <c r="I101" s="37"/>
      <c r="J101" s="37"/>
      <c r="K101" s="37"/>
      <c r="L101" s="37"/>
    </row>
    <row r="102" spans="4:12" ht="15.75" customHeight="1">
      <c r="D102" s="37"/>
      <c r="E102" s="37"/>
      <c r="F102" s="37"/>
      <c r="G102" s="37"/>
      <c r="H102" s="37"/>
      <c r="I102" s="37"/>
      <c r="J102" s="37"/>
      <c r="K102" s="37"/>
      <c r="L102" s="37"/>
    </row>
    <row r="103" spans="4:12" ht="15.75" customHeight="1">
      <c r="D103" s="37"/>
      <c r="E103" s="37"/>
      <c r="F103" s="37"/>
      <c r="G103" s="37"/>
      <c r="H103" s="37"/>
      <c r="I103" s="37"/>
      <c r="J103" s="37"/>
      <c r="K103" s="37"/>
      <c r="L103" s="37"/>
    </row>
    <row r="104" spans="4:12" ht="15.75" customHeight="1">
      <c r="D104" s="37"/>
      <c r="E104" s="37"/>
      <c r="F104" s="37"/>
      <c r="G104" s="37"/>
      <c r="H104" s="37"/>
      <c r="I104" s="37"/>
      <c r="J104" s="37"/>
      <c r="K104" s="37"/>
      <c r="L104" s="37"/>
    </row>
    <row r="105" spans="4:12" ht="15.75" customHeight="1">
      <c r="D105" s="37"/>
      <c r="E105" s="37"/>
      <c r="F105" s="37"/>
      <c r="G105" s="37"/>
      <c r="H105" s="37"/>
      <c r="I105" s="37"/>
      <c r="J105" s="37"/>
      <c r="K105" s="37"/>
      <c r="L105" s="37"/>
    </row>
    <row r="106" spans="4:12" ht="15.75" customHeight="1">
      <c r="D106" s="37"/>
      <c r="E106" s="37"/>
      <c r="F106" s="37"/>
      <c r="G106" s="37"/>
      <c r="H106" s="37"/>
      <c r="I106" s="37"/>
      <c r="J106" s="37"/>
      <c r="K106" s="37"/>
      <c r="L106" s="37"/>
    </row>
    <row r="107" spans="4:12" ht="15.75" customHeight="1">
      <c r="D107" s="37"/>
      <c r="E107" s="37"/>
      <c r="F107" s="37"/>
      <c r="G107" s="37"/>
      <c r="H107" s="37"/>
      <c r="I107" s="37"/>
      <c r="J107" s="37"/>
      <c r="K107" s="37"/>
      <c r="L107" s="37"/>
    </row>
    <row r="108" spans="4:12" ht="15.75" customHeight="1">
      <c r="D108" s="37"/>
      <c r="E108" s="37"/>
      <c r="F108" s="37"/>
      <c r="G108" s="37"/>
      <c r="H108" s="37"/>
      <c r="I108" s="37"/>
      <c r="J108" s="37"/>
      <c r="K108" s="37"/>
      <c r="L108" s="37"/>
    </row>
    <row r="109" spans="4:12" ht="15.75" customHeight="1">
      <c r="D109" s="37"/>
      <c r="E109" s="37"/>
      <c r="F109" s="37"/>
      <c r="G109" s="37"/>
      <c r="H109" s="37"/>
      <c r="I109" s="37"/>
      <c r="J109" s="37"/>
      <c r="K109" s="37"/>
      <c r="L109" s="37"/>
    </row>
    <row r="110" spans="4:12" ht="15.75" customHeight="1">
      <c r="D110" s="37"/>
      <c r="E110" s="37"/>
      <c r="F110" s="37"/>
      <c r="G110" s="37"/>
      <c r="H110" s="37"/>
      <c r="I110" s="37"/>
      <c r="J110" s="37"/>
      <c r="K110" s="37"/>
      <c r="L110" s="37"/>
    </row>
    <row r="111" spans="4:12" ht="15.75" customHeight="1">
      <c r="D111" s="37"/>
      <c r="E111" s="37"/>
      <c r="F111" s="37"/>
      <c r="G111" s="37"/>
      <c r="H111" s="37"/>
      <c r="I111" s="37"/>
      <c r="J111" s="37"/>
      <c r="K111" s="37"/>
      <c r="L111" s="37"/>
    </row>
    <row r="112" spans="4:12" ht="15.75" customHeight="1">
      <c r="D112" s="37"/>
      <c r="E112" s="37"/>
      <c r="F112" s="37"/>
      <c r="G112" s="37"/>
      <c r="H112" s="37"/>
      <c r="I112" s="37"/>
      <c r="J112" s="37"/>
      <c r="K112" s="37"/>
      <c r="L112" s="37"/>
    </row>
    <row r="113" spans="4:12" ht="15.75" customHeight="1">
      <c r="D113" s="37"/>
      <c r="E113" s="37"/>
      <c r="F113" s="37"/>
      <c r="G113" s="37"/>
      <c r="H113" s="37"/>
      <c r="I113" s="37"/>
      <c r="J113" s="37"/>
      <c r="K113" s="37"/>
      <c r="L113" s="37"/>
    </row>
    <row r="114" spans="4:12" ht="15.75" customHeight="1">
      <c r="D114" s="37"/>
      <c r="E114" s="37"/>
      <c r="F114" s="37"/>
      <c r="G114" s="37"/>
      <c r="H114" s="37"/>
      <c r="I114" s="37"/>
      <c r="J114" s="37"/>
      <c r="K114" s="37"/>
      <c r="L114" s="37"/>
    </row>
    <row r="115" spans="4:12" ht="15.75" customHeight="1">
      <c r="D115" s="37"/>
      <c r="E115" s="37"/>
      <c r="F115" s="37"/>
      <c r="G115" s="37"/>
      <c r="H115" s="37"/>
      <c r="I115" s="37"/>
      <c r="J115" s="37"/>
      <c r="K115" s="37"/>
      <c r="L115" s="37"/>
    </row>
    <row r="116" spans="4:12" ht="15.75" customHeight="1">
      <c r="D116" s="37"/>
      <c r="E116" s="37"/>
      <c r="F116" s="37"/>
      <c r="G116" s="37"/>
      <c r="H116" s="37"/>
      <c r="I116" s="37"/>
      <c r="J116" s="37"/>
      <c r="K116" s="37"/>
      <c r="L116" s="37"/>
    </row>
    <row r="117" spans="4:12" ht="15.75" customHeight="1">
      <c r="D117" s="37"/>
      <c r="E117" s="37"/>
      <c r="F117" s="37"/>
      <c r="G117" s="37"/>
      <c r="H117" s="37"/>
      <c r="I117" s="37"/>
      <c r="J117" s="37"/>
      <c r="K117" s="37"/>
      <c r="L117" s="37"/>
    </row>
    <row r="118" spans="4:12" ht="15.75" customHeight="1">
      <c r="D118" s="37"/>
      <c r="E118" s="37"/>
      <c r="F118" s="37"/>
      <c r="G118" s="37"/>
      <c r="H118" s="37"/>
      <c r="I118" s="37"/>
      <c r="J118" s="37"/>
      <c r="K118" s="37"/>
      <c r="L118" s="37"/>
    </row>
    <row r="119" spans="4:12" ht="15.75" customHeight="1">
      <c r="D119" s="37"/>
      <c r="E119" s="37"/>
      <c r="F119" s="37"/>
      <c r="G119" s="37"/>
      <c r="H119" s="37"/>
      <c r="I119" s="37"/>
      <c r="J119" s="37"/>
      <c r="K119" s="37"/>
      <c r="L119" s="37"/>
    </row>
    <row r="120" spans="4:12" ht="15.75" customHeight="1">
      <c r="D120" s="37"/>
      <c r="E120" s="37"/>
      <c r="F120" s="37"/>
      <c r="G120" s="37"/>
      <c r="H120" s="37"/>
      <c r="I120" s="37"/>
      <c r="J120" s="37"/>
      <c r="K120" s="37"/>
      <c r="L120" s="37"/>
    </row>
    <row r="121" spans="4:12" ht="15.75" customHeight="1">
      <c r="D121" s="37"/>
      <c r="E121" s="37"/>
      <c r="F121" s="37"/>
      <c r="G121" s="37"/>
      <c r="H121" s="37"/>
      <c r="I121" s="37"/>
      <c r="J121" s="37"/>
      <c r="K121" s="37"/>
      <c r="L121" s="37"/>
    </row>
    <row r="122" spans="4:12" ht="15.75" customHeight="1">
      <c r="D122" s="37"/>
      <c r="E122" s="37"/>
      <c r="F122" s="37"/>
      <c r="G122" s="37"/>
      <c r="H122" s="37"/>
      <c r="I122" s="37"/>
      <c r="J122" s="37"/>
      <c r="K122" s="37"/>
      <c r="L122" s="37"/>
    </row>
    <row r="123" spans="4:12" ht="15.75" customHeight="1">
      <c r="D123" s="37"/>
      <c r="E123" s="37"/>
      <c r="F123" s="37"/>
      <c r="G123" s="37"/>
      <c r="H123" s="37"/>
      <c r="I123" s="37"/>
      <c r="J123" s="37"/>
      <c r="K123" s="37"/>
      <c r="L123" s="37"/>
    </row>
    <row r="124" spans="4:12" ht="15.75" customHeight="1">
      <c r="D124" s="37"/>
      <c r="E124" s="37"/>
      <c r="F124" s="37"/>
      <c r="G124" s="37"/>
      <c r="H124" s="37"/>
      <c r="I124" s="37"/>
      <c r="J124" s="37"/>
      <c r="K124" s="37"/>
      <c r="L124" s="37"/>
    </row>
    <row r="125" spans="4:12" ht="15.75" customHeight="1">
      <c r="D125" s="37"/>
      <c r="E125" s="37"/>
      <c r="F125" s="37"/>
      <c r="G125" s="37"/>
      <c r="H125" s="37"/>
      <c r="I125" s="37"/>
      <c r="J125" s="37"/>
      <c r="K125" s="37"/>
      <c r="L125" s="37"/>
    </row>
    <row r="126" spans="4:12" ht="15.75" customHeight="1">
      <c r="D126" s="37"/>
      <c r="E126" s="37"/>
      <c r="F126" s="37"/>
      <c r="G126" s="37"/>
      <c r="H126" s="37"/>
      <c r="I126" s="37"/>
      <c r="J126" s="37"/>
      <c r="K126" s="37"/>
      <c r="L126" s="37"/>
    </row>
    <row r="127" spans="4:12" ht="15.75" customHeight="1">
      <c r="D127" s="37"/>
      <c r="E127" s="37"/>
      <c r="F127" s="37"/>
      <c r="G127" s="37"/>
      <c r="H127" s="37"/>
      <c r="I127" s="37"/>
      <c r="J127" s="37"/>
      <c r="K127" s="37"/>
      <c r="L127" s="37"/>
    </row>
    <row r="128" spans="4:12" ht="15.75" customHeight="1">
      <c r="D128" s="37"/>
      <c r="E128" s="37"/>
      <c r="F128" s="37"/>
      <c r="G128" s="37"/>
      <c r="H128" s="37"/>
      <c r="I128" s="37"/>
      <c r="J128" s="37"/>
      <c r="K128" s="37"/>
      <c r="L128" s="37"/>
    </row>
    <row r="129" spans="4:12" ht="15.75" customHeight="1">
      <c r="D129" s="37"/>
      <c r="E129" s="37"/>
      <c r="F129" s="37"/>
      <c r="G129" s="37"/>
      <c r="H129" s="37"/>
      <c r="I129" s="37"/>
      <c r="J129" s="37"/>
      <c r="K129" s="37"/>
      <c r="L129" s="37"/>
    </row>
    <row r="130" spans="4:12" ht="15.75" customHeight="1">
      <c r="D130" s="37"/>
      <c r="E130" s="37"/>
      <c r="F130" s="37"/>
      <c r="G130" s="37"/>
      <c r="H130" s="37"/>
      <c r="I130" s="37"/>
      <c r="J130" s="37"/>
      <c r="K130" s="37"/>
      <c r="L130" s="37"/>
    </row>
    <row r="131" spans="4:12" ht="15.75" customHeight="1">
      <c r="D131" s="37"/>
      <c r="E131" s="37"/>
      <c r="F131" s="37"/>
      <c r="G131" s="37"/>
      <c r="H131" s="37"/>
      <c r="I131" s="37"/>
      <c r="J131" s="37"/>
      <c r="K131" s="37"/>
      <c r="L131" s="37"/>
    </row>
    <row r="132" spans="4:12" ht="15.75" customHeight="1">
      <c r="D132" s="37"/>
      <c r="E132" s="37"/>
      <c r="F132" s="37"/>
      <c r="G132" s="37"/>
      <c r="H132" s="37"/>
      <c r="I132" s="37"/>
      <c r="J132" s="37"/>
      <c r="K132" s="37"/>
      <c r="L132" s="37"/>
    </row>
    <row r="133" spans="4:12" ht="15.75" customHeight="1">
      <c r="D133" s="37"/>
      <c r="E133" s="37"/>
      <c r="F133" s="37"/>
      <c r="G133" s="37"/>
      <c r="H133" s="37"/>
      <c r="I133" s="37"/>
      <c r="J133" s="37"/>
      <c r="K133" s="37"/>
      <c r="L133" s="37"/>
    </row>
    <row r="134" spans="4:12" ht="15.75" customHeight="1">
      <c r="D134" s="37"/>
      <c r="E134" s="37"/>
      <c r="F134" s="37"/>
      <c r="G134" s="37"/>
      <c r="H134" s="37"/>
      <c r="I134" s="37"/>
      <c r="J134" s="37"/>
      <c r="K134" s="37"/>
      <c r="L134" s="37"/>
    </row>
    <row r="135" spans="4:12" ht="15.75" customHeight="1">
      <c r="D135" s="37"/>
      <c r="E135" s="37"/>
      <c r="F135" s="37"/>
      <c r="G135" s="37"/>
      <c r="H135" s="37"/>
      <c r="I135" s="37"/>
      <c r="J135" s="37"/>
      <c r="K135" s="37"/>
      <c r="L135" s="37"/>
    </row>
    <row r="136" spans="4:12" ht="15.75" customHeight="1">
      <c r="D136" s="37"/>
      <c r="E136" s="37"/>
      <c r="F136" s="37"/>
      <c r="G136" s="37"/>
      <c r="H136" s="37"/>
      <c r="I136" s="37"/>
      <c r="J136" s="37"/>
      <c r="K136" s="37"/>
      <c r="L136" s="37"/>
    </row>
    <row r="137" spans="4:12" ht="15.75" customHeight="1">
      <c r="D137" s="37"/>
      <c r="E137" s="37"/>
      <c r="F137" s="37"/>
      <c r="G137" s="37"/>
      <c r="H137" s="37"/>
      <c r="I137" s="37"/>
      <c r="J137" s="37"/>
      <c r="K137" s="37"/>
      <c r="L137" s="37"/>
    </row>
    <row r="138" spans="4:12" ht="15.75" customHeight="1">
      <c r="D138" s="37"/>
      <c r="E138" s="37"/>
      <c r="F138" s="37"/>
      <c r="G138" s="37"/>
      <c r="H138" s="37"/>
      <c r="I138" s="37"/>
      <c r="J138" s="37"/>
      <c r="K138" s="37"/>
      <c r="L138" s="37"/>
    </row>
    <row r="139" spans="4:12" ht="15.75" customHeight="1">
      <c r="D139" s="37"/>
      <c r="E139" s="37"/>
      <c r="F139" s="37"/>
      <c r="G139" s="37"/>
      <c r="H139" s="37"/>
      <c r="I139" s="37"/>
      <c r="J139" s="37"/>
      <c r="K139" s="37"/>
      <c r="L139" s="37"/>
    </row>
    <row r="140" spans="4:12" ht="15.75" customHeight="1">
      <c r="D140" s="37"/>
      <c r="E140" s="37"/>
      <c r="F140" s="37"/>
      <c r="G140" s="37"/>
      <c r="H140" s="37"/>
      <c r="I140" s="37"/>
      <c r="J140" s="37"/>
      <c r="K140" s="37"/>
      <c r="L140" s="37"/>
    </row>
    <row r="141" spans="4:12" ht="15.75" customHeight="1">
      <c r="D141" s="37"/>
      <c r="E141" s="37"/>
      <c r="F141" s="37"/>
      <c r="G141" s="37"/>
      <c r="H141" s="37"/>
      <c r="I141" s="37"/>
      <c r="J141" s="37"/>
      <c r="K141" s="37"/>
      <c r="L141" s="37"/>
    </row>
    <row r="142" spans="4:12" ht="15.75" customHeight="1">
      <c r="D142" s="37"/>
      <c r="E142" s="37"/>
      <c r="F142" s="37"/>
      <c r="G142" s="37"/>
      <c r="H142" s="37"/>
      <c r="I142" s="37"/>
      <c r="J142" s="37"/>
      <c r="K142" s="37"/>
      <c r="L142" s="37"/>
    </row>
    <row r="143" spans="4:12" ht="15.75" customHeight="1">
      <c r="D143" s="37"/>
      <c r="E143" s="37"/>
      <c r="F143" s="37"/>
      <c r="G143" s="37"/>
      <c r="H143" s="37"/>
      <c r="I143" s="37"/>
      <c r="J143" s="37"/>
      <c r="K143" s="37"/>
      <c r="L143" s="37"/>
    </row>
    <row r="144" spans="4:12" ht="15.75" customHeight="1">
      <c r="D144" s="37"/>
      <c r="E144" s="37"/>
      <c r="F144" s="37"/>
      <c r="G144" s="37"/>
      <c r="H144" s="37"/>
      <c r="I144" s="37"/>
      <c r="J144" s="37"/>
      <c r="K144" s="37"/>
      <c r="L144" s="37"/>
    </row>
    <row r="145" spans="4:12" ht="15.75" customHeight="1">
      <c r="D145" s="37"/>
      <c r="E145" s="37"/>
      <c r="F145" s="37"/>
      <c r="G145" s="37"/>
      <c r="H145" s="37"/>
      <c r="I145" s="37"/>
      <c r="J145" s="37"/>
      <c r="K145" s="37"/>
      <c r="L145" s="37"/>
    </row>
    <row r="146" spans="4:12" ht="15.75" customHeight="1">
      <c r="D146" s="37"/>
      <c r="E146" s="37"/>
      <c r="F146" s="37"/>
      <c r="G146" s="37"/>
      <c r="H146" s="37"/>
      <c r="I146" s="37"/>
      <c r="J146" s="37"/>
      <c r="K146" s="37"/>
      <c r="L146" s="37"/>
    </row>
    <row r="147" spans="4:12" ht="15.75" customHeight="1">
      <c r="D147" s="37"/>
      <c r="E147" s="37"/>
      <c r="F147" s="37"/>
      <c r="G147" s="37"/>
      <c r="H147" s="37"/>
      <c r="I147" s="37"/>
      <c r="J147" s="37"/>
      <c r="K147" s="37"/>
      <c r="L147" s="37"/>
    </row>
    <row r="148" spans="4:12" ht="15.75" customHeight="1">
      <c r="D148" s="37"/>
      <c r="E148" s="37"/>
      <c r="F148" s="37"/>
      <c r="G148" s="37"/>
      <c r="H148" s="37"/>
      <c r="I148" s="37"/>
      <c r="J148" s="37"/>
      <c r="K148" s="37"/>
      <c r="L148" s="37"/>
    </row>
    <row r="149" spans="4:12" ht="15.75" customHeight="1">
      <c r="D149" s="37"/>
      <c r="E149" s="37"/>
      <c r="F149" s="37"/>
      <c r="G149" s="37"/>
      <c r="H149" s="37"/>
      <c r="I149" s="37"/>
      <c r="J149" s="37"/>
      <c r="K149" s="37"/>
      <c r="L149" s="37"/>
    </row>
    <row r="150" spans="4:12" ht="15.75" customHeight="1">
      <c r="D150" s="37"/>
      <c r="E150" s="37"/>
      <c r="F150" s="37"/>
      <c r="G150" s="37"/>
      <c r="H150" s="37"/>
      <c r="I150" s="37"/>
      <c r="J150" s="37"/>
      <c r="K150" s="37"/>
      <c r="L150" s="37"/>
    </row>
    <row r="151" spans="4:12" ht="15.75" customHeight="1">
      <c r="D151" s="37"/>
      <c r="E151" s="37"/>
      <c r="F151" s="37"/>
      <c r="G151" s="37"/>
      <c r="H151" s="37"/>
      <c r="I151" s="37"/>
      <c r="J151" s="37"/>
      <c r="K151" s="37"/>
      <c r="L151" s="37"/>
    </row>
    <row r="152" spans="4:12" ht="15.75" customHeight="1">
      <c r="D152" s="37"/>
      <c r="E152" s="37"/>
      <c r="F152" s="37"/>
      <c r="G152" s="37"/>
      <c r="H152" s="37"/>
      <c r="I152" s="37"/>
      <c r="J152" s="37"/>
      <c r="K152" s="37"/>
      <c r="L152" s="37"/>
    </row>
    <row r="153" spans="4:12" ht="15.75" customHeight="1">
      <c r="D153" s="37"/>
      <c r="E153" s="37"/>
      <c r="F153" s="37"/>
      <c r="G153" s="37"/>
      <c r="H153" s="37"/>
      <c r="I153" s="37"/>
      <c r="J153" s="37"/>
      <c r="K153" s="37"/>
      <c r="L153" s="37"/>
    </row>
    <row r="154" spans="4:12" ht="15.75" customHeight="1">
      <c r="D154" s="37"/>
      <c r="E154" s="37"/>
      <c r="F154" s="37"/>
      <c r="G154" s="37"/>
      <c r="H154" s="37"/>
      <c r="I154" s="37"/>
      <c r="J154" s="37"/>
      <c r="K154" s="37"/>
      <c r="L154" s="37"/>
    </row>
    <row r="155" spans="4:12" ht="15.75" customHeight="1">
      <c r="D155" s="37"/>
      <c r="E155" s="37"/>
      <c r="F155" s="37"/>
      <c r="G155" s="37"/>
      <c r="H155" s="37"/>
      <c r="I155" s="37"/>
      <c r="J155" s="37"/>
      <c r="K155" s="37"/>
      <c r="L155" s="37"/>
    </row>
    <row r="156" spans="4:12" ht="15.75" customHeight="1">
      <c r="D156" s="37"/>
      <c r="E156" s="37"/>
      <c r="F156" s="37"/>
      <c r="G156" s="37"/>
      <c r="H156" s="37"/>
      <c r="I156" s="37"/>
      <c r="J156" s="37"/>
      <c r="K156" s="37"/>
      <c r="L156" s="37"/>
    </row>
    <row r="157" spans="4:12" ht="15.75" customHeight="1">
      <c r="D157" s="37"/>
      <c r="E157" s="37"/>
      <c r="F157" s="37"/>
      <c r="G157" s="37"/>
      <c r="H157" s="37"/>
      <c r="I157" s="37"/>
      <c r="J157" s="37"/>
      <c r="K157" s="37"/>
      <c r="L157" s="37"/>
    </row>
    <row r="158" spans="4:12" ht="15.75" customHeight="1">
      <c r="D158" s="37"/>
      <c r="E158" s="37"/>
      <c r="F158" s="37"/>
      <c r="G158" s="37"/>
      <c r="H158" s="37"/>
      <c r="I158" s="37"/>
      <c r="J158" s="37"/>
      <c r="K158" s="37"/>
      <c r="L158" s="37"/>
    </row>
    <row r="159" spans="4:12" ht="15.75" customHeight="1">
      <c r="D159" s="37"/>
      <c r="E159" s="37"/>
      <c r="F159" s="37"/>
      <c r="G159" s="37"/>
      <c r="H159" s="37"/>
      <c r="I159" s="37"/>
      <c r="J159" s="37"/>
      <c r="K159" s="37"/>
      <c r="L159" s="37"/>
    </row>
    <row r="160" spans="4:12" ht="15.75" customHeight="1">
      <c r="D160" s="37"/>
      <c r="E160" s="37"/>
      <c r="F160" s="37"/>
      <c r="G160" s="37"/>
      <c r="H160" s="37"/>
      <c r="I160" s="37"/>
      <c r="J160" s="37"/>
      <c r="K160" s="37"/>
      <c r="L160" s="37"/>
    </row>
    <row r="161" spans="4:12" ht="15.75" customHeight="1">
      <c r="D161" s="37"/>
      <c r="E161" s="37"/>
      <c r="F161" s="37"/>
      <c r="G161" s="37"/>
      <c r="H161" s="37"/>
      <c r="I161" s="37"/>
      <c r="J161" s="37"/>
      <c r="K161" s="37"/>
      <c r="L161" s="37"/>
    </row>
    <row r="162" spans="4:12" ht="15.75" customHeight="1">
      <c r="D162" s="37"/>
      <c r="E162" s="37"/>
      <c r="F162" s="37"/>
      <c r="G162" s="37"/>
      <c r="H162" s="37"/>
      <c r="I162" s="37"/>
      <c r="J162" s="37"/>
      <c r="K162" s="37"/>
      <c r="L162" s="37"/>
    </row>
    <row r="163" spans="4:12" ht="15.75" customHeight="1">
      <c r="D163" s="37"/>
      <c r="E163" s="37"/>
      <c r="F163" s="37"/>
      <c r="G163" s="37"/>
      <c r="H163" s="37"/>
      <c r="I163" s="37"/>
      <c r="J163" s="37"/>
      <c r="K163" s="37"/>
      <c r="L163" s="37"/>
    </row>
    <row r="164" spans="4:12" ht="15.75" customHeight="1">
      <c r="D164" s="37"/>
      <c r="E164" s="37"/>
      <c r="F164" s="37"/>
      <c r="G164" s="37"/>
      <c r="H164" s="37"/>
      <c r="I164" s="37"/>
      <c r="J164" s="37"/>
      <c r="K164" s="37"/>
      <c r="L164" s="37"/>
    </row>
    <row r="165" spans="4:12" ht="15.75" customHeight="1">
      <c r="D165" s="37"/>
      <c r="E165" s="37"/>
      <c r="F165" s="37"/>
      <c r="G165" s="37"/>
      <c r="H165" s="37"/>
      <c r="I165" s="37"/>
      <c r="J165" s="37"/>
      <c r="K165" s="37"/>
      <c r="L165" s="37"/>
    </row>
    <row r="166" spans="4:12" ht="15.75" customHeight="1">
      <c r="D166" s="37"/>
      <c r="E166" s="37"/>
      <c r="F166" s="37"/>
      <c r="G166" s="37"/>
      <c r="H166" s="37"/>
      <c r="I166" s="37"/>
      <c r="J166" s="37"/>
      <c r="K166" s="37"/>
      <c r="L166" s="37"/>
    </row>
    <row r="167" spans="4:12" ht="15.75" customHeight="1">
      <c r="D167" s="37"/>
      <c r="E167" s="37"/>
      <c r="F167" s="37"/>
      <c r="G167" s="37"/>
      <c r="H167" s="37"/>
      <c r="I167" s="37"/>
      <c r="J167" s="37"/>
      <c r="K167" s="37"/>
      <c r="L167" s="37"/>
    </row>
    <row r="168" spans="4:12" ht="15.75" customHeight="1">
      <c r="D168" s="37"/>
      <c r="E168" s="37"/>
      <c r="F168" s="37"/>
      <c r="G168" s="37"/>
      <c r="H168" s="37"/>
      <c r="I168" s="37"/>
      <c r="J168" s="37"/>
      <c r="K168" s="37"/>
      <c r="L168" s="37"/>
    </row>
    <row r="169" spans="4:12" ht="15.75" customHeight="1">
      <c r="D169" s="37"/>
      <c r="E169" s="37"/>
      <c r="F169" s="37"/>
      <c r="G169" s="37"/>
      <c r="H169" s="37"/>
      <c r="I169" s="37"/>
      <c r="J169" s="37"/>
      <c r="K169" s="37"/>
      <c r="L169" s="37"/>
    </row>
    <row r="170" spans="4:12" ht="15.75" customHeight="1">
      <c r="D170" s="37"/>
      <c r="E170" s="37"/>
      <c r="F170" s="37"/>
      <c r="G170" s="37"/>
      <c r="H170" s="37"/>
      <c r="I170" s="37"/>
      <c r="J170" s="37"/>
      <c r="K170" s="37"/>
      <c r="L170" s="37"/>
    </row>
    <row r="171" spans="4:12" ht="15.75" customHeight="1">
      <c r="D171" s="37"/>
      <c r="E171" s="37"/>
      <c r="F171" s="37"/>
      <c r="G171" s="37"/>
      <c r="H171" s="37"/>
      <c r="I171" s="37"/>
      <c r="J171" s="37"/>
      <c r="K171" s="37"/>
      <c r="L171" s="37"/>
    </row>
    <row r="172" spans="4:12" ht="15.75" customHeight="1">
      <c r="D172" s="37"/>
      <c r="E172" s="37"/>
      <c r="F172" s="37"/>
      <c r="G172" s="37"/>
      <c r="H172" s="37"/>
      <c r="I172" s="37"/>
      <c r="J172" s="37"/>
      <c r="K172" s="37"/>
      <c r="L172" s="37"/>
    </row>
    <row r="173" spans="4:12" ht="15.75" customHeight="1">
      <c r="D173" s="37"/>
      <c r="E173" s="37"/>
      <c r="F173" s="37"/>
      <c r="G173" s="37"/>
      <c r="H173" s="37"/>
      <c r="I173" s="37"/>
      <c r="J173" s="37"/>
      <c r="K173" s="37"/>
      <c r="L173" s="37"/>
    </row>
    <row r="174" spans="4:12" ht="15.75" customHeight="1">
      <c r="D174" s="37"/>
      <c r="E174" s="37"/>
      <c r="F174" s="37"/>
      <c r="G174" s="37"/>
      <c r="H174" s="37"/>
      <c r="I174" s="37"/>
      <c r="J174" s="37"/>
      <c r="K174" s="37"/>
      <c r="L174" s="37"/>
    </row>
    <row r="175" spans="4:12" ht="15.75" customHeight="1">
      <c r="D175" s="37"/>
      <c r="E175" s="37"/>
      <c r="F175" s="37"/>
      <c r="G175" s="37"/>
      <c r="H175" s="37"/>
      <c r="I175" s="37"/>
      <c r="J175" s="37"/>
      <c r="K175" s="37"/>
      <c r="L175" s="37"/>
    </row>
    <row r="176" spans="4:12" ht="15.75" customHeight="1">
      <c r="D176" s="37"/>
      <c r="E176" s="37"/>
      <c r="F176" s="37"/>
      <c r="G176" s="37"/>
      <c r="H176" s="37"/>
      <c r="I176" s="37"/>
      <c r="J176" s="37"/>
      <c r="K176" s="37"/>
      <c r="L176" s="37"/>
    </row>
    <row r="177" spans="4:12" ht="15.75" customHeight="1">
      <c r="D177" s="37"/>
      <c r="E177" s="37"/>
      <c r="F177" s="37"/>
      <c r="G177" s="37"/>
      <c r="H177" s="37"/>
      <c r="I177" s="37"/>
      <c r="J177" s="37"/>
      <c r="K177" s="37"/>
      <c r="L177" s="37"/>
    </row>
    <row r="178" spans="4:12" ht="15.75" customHeight="1">
      <c r="D178" s="37"/>
      <c r="E178" s="37"/>
      <c r="F178" s="37"/>
      <c r="G178" s="37"/>
      <c r="H178" s="37"/>
      <c r="I178" s="37"/>
      <c r="J178" s="37"/>
      <c r="K178" s="37"/>
      <c r="L178" s="37"/>
    </row>
    <row r="179" spans="4:12" ht="15.75" customHeight="1">
      <c r="D179" s="37"/>
      <c r="E179" s="37"/>
      <c r="F179" s="37"/>
      <c r="G179" s="37"/>
      <c r="H179" s="37"/>
      <c r="I179" s="37"/>
      <c r="J179" s="37"/>
      <c r="K179" s="37"/>
      <c r="L179" s="37"/>
    </row>
    <row r="180" spans="4:12" ht="15.75" customHeight="1">
      <c r="D180" s="37"/>
      <c r="E180" s="37"/>
      <c r="F180" s="37"/>
      <c r="G180" s="37"/>
      <c r="H180" s="37"/>
      <c r="I180" s="37"/>
      <c r="J180" s="37"/>
      <c r="K180" s="37"/>
      <c r="L180" s="37"/>
    </row>
    <row r="181" spans="4:12" ht="15.75" customHeight="1">
      <c r="D181" s="37"/>
      <c r="E181" s="37"/>
      <c r="F181" s="37"/>
      <c r="G181" s="37"/>
      <c r="H181" s="37"/>
      <c r="I181" s="37"/>
      <c r="J181" s="37"/>
      <c r="K181" s="37"/>
      <c r="L181" s="37"/>
    </row>
    <row r="182" spans="4:12" ht="15.75" customHeight="1">
      <c r="D182" s="37"/>
      <c r="E182" s="37"/>
      <c r="F182" s="37"/>
      <c r="G182" s="37"/>
      <c r="H182" s="37"/>
      <c r="I182" s="37"/>
      <c r="J182" s="37"/>
      <c r="K182" s="37"/>
      <c r="L182" s="37"/>
    </row>
    <row r="183" spans="4:12" ht="15.75" customHeight="1">
      <c r="D183" s="37"/>
      <c r="E183" s="37"/>
      <c r="F183" s="37"/>
      <c r="G183" s="37"/>
      <c r="H183" s="37"/>
      <c r="I183" s="37"/>
      <c r="J183" s="37"/>
      <c r="K183" s="37"/>
      <c r="L183" s="37"/>
    </row>
    <row r="184" spans="4:12" ht="15.75" customHeight="1">
      <c r="D184" s="37"/>
      <c r="E184" s="37"/>
      <c r="F184" s="37"/>
      <c r="G184" s="37"/>
      <c r="H184" s="37"/>
      <c r="I184" s="37"/>
      <c r="J184" s="37"/>
      <c r="K184" s="37"/>
      <c r="L184" s="37"/>
    </row>
    <row r="185" spans="4:12" ht="15.75" customHeight="1">
      <c r="D185" s="37"/>
      <c r="E185" s="37"/>
      <c r="F185" s="37"/>
      <c r="G185" s="37"/>
      <c r="H185" s="37"/>
      <c r="I185" s="37"/>
      <c r="J185" s="37"/>
      <c r="K185" s="37"/>
      <c r="L185" s="37"/>
    </row>
    <row r="186" spans="4:12" ht="15.75" customHeight="1">
      <c r="D186" s="37"/>
      <c r="E186" s="37"/>
      <c r="F186" s="37"/>
      <c r="G186" s="37"/>
      <c r="H186" s="37"/>
      <c r="I186" s="37"/>
      <c r="J186" s="37"/>
      <c r="K186" s="37"/>
      <c r="L186" s="37"/>
    </row>
    <row r="187" spans="4:12" ht="15.75" customHeight="1">
      <c r="D187" s="37"/>
      <c r="E187" s="37"/>
      <c r="F187" s="37"/>
      <c r="G187" s="37"/>
      <c r="H187" s="37"/>
      <c r="I187" s="37"/>
      <c r="J187" s="37"/>
      <c r="K187" s="37"/>
      <c r="L187" s="37"/>
    </row>
    <row r="188" spans="4:12" ht="15.75" customHeight="1">
      <c r="D188" s="37"/>
      <c r="E188" s="37"/>
      <c r="F188" s="37"/>
      <c r="G188" s="37"/>
      <c r="H188" s="37"/>
      <c r="I188" s="37"/>
      <c r="J188" s="37"/>
      <c r="K188" s="37"/>
      <c r="L188" s="37"/>
    </row>
    <row r="189" spans="4:12" ht="15.75" customHeight="1">
      <c r="D189" s="37"/>
      <c r="E189" s="37"/>
      <c r="F189" s="37"/>
      <c r="G189" s="37"/>
      <c r="H189" s="37"/>
      <c r="I189" s="37"/>
      <c r="J189" s="37"/>
      <c r="K189" s="37"/>
      <c r="L189" s="37"/>
    </row>
    <row r="190" spans="4:12" ht="15.75" customHeight="1">
      <c r="D190" s="37"/>
      <c r="E190" s="37"/>
      <c r="F190" s="37"/>
      <c r="G190" s="37"/>
      <c r="H190" s="37"/>
      <c r="I190" s="37"/>
      <c r="J190" s="37"/>
      <c r="K190" s="37"/>
      <c r="L190" s="37"/>
    </row>
    <row r="191" spans="4:12" ht="15.75" customHeight="1">
      <c r="D191" s="37"/>
      <c r="E191" s="37"/>
      <c r="F191" s="37"/>
      <c r="G191" s="37"/>
      <c r="H191" s="37"/>
      <c r="I191" s="37"/>
      <c r="J191" s="37"/>
      <c r="K191" s="37"/>
      <c r="L191" s="37"/>
    </row>
    <row r="192" spans="4:12" ht="15.75" customHeight="1">
      <c r="D192" s="37"/>
      <c r="E192" s="37"/>
      <c r="F192" s="37"/>
      <c r="G192" s="37"/>
      <c r="H192" s="37"/>
      <c r="I192" s="37"/>
      <c r="J192" s="37"/>
      <c r="K192" s="37"/>
      <c r="L192" s="37"/>
    </row>
    <row r="193" spans="4:12" ht="15.75" customHeight="1">
      <c r="D193" s="37"/>
      <c r="E193" s="37"/>
      <c r="F193" s="37"/>
      <c r="G193" s="37"/>
      <c r="H193" s="37"/>
      <c r="I193" s="37"/>
      <c r="J193" s="37"/>
      <c r="K193" s="37"/>
      <c r="L193" s="37"/>
    </row>
    <row r="194" spans="4:12" ht="15.75" customHeight="1">
      <c r="D194" s="37"/>
      <c r="E194" s="37"/>
      <c r="F194" s="37"/>
      <c r="G194" s="37"/>
      <c r="H194" s="37"/>
      <c r="I194" s="37"/>
      <c r="J194" s="37"/>
      <c r="K194" s="37"/>
      <c r="L194" s="37"/>
    </row>
    <row r="195" spans="4:12" ht="15.75" customHeight="1">
      <c r="D195" s="37"/>
      <c r="E195" s="37"/>
      <c r="F195" s="37"/>
      <c r="G195" s="37"/>
      <c r="H195" s="37"/>
      <c r="I195" s="37"/>
      <c r="J195" s="37"/>
      <c r="K195" s="37"/>
      <c r="L195" s="37"/>
    </row>
    <row r="196" spans="4:12" ht="15.75" customHeight="1">
      <c r="D196" s="37"/>
      <c r="E196" s="37"/>
      <c r="F196" s="37"/>
      <c r="G196" s="37"/>
      <c r="H196" s="37"/>
      <c r="I196" s="37"/>
      <c r="J196" s="37"/>
      <c r="K196" s="37"/>
      <c r="L196" s="37"/>
    </row>
    <row r="197" spans="4:12" ht="15.75" customHeight="1">
      <c r="D197" s="37"/>
      <c r="E197" s="37"/>
      <c r="F197" s="37"/>
      <c r="G197" s="37"/>
      <c r="H197" s="37"/>
      <c r="I197" s="37"/>
      <c r="J197" s="37"/>
      <c r="K197" s="37"/>
      <c r="L197" s="37"/>
    </row>
    <row r="198" spans="4:12" ht="15.75" customHeight="1">
      <c r="D198" s="37"/>
      <c r="E198" s="37"/>
      <c r="F198" s="37"/>
      <c r="G198" s="37"/>
      <c r="H198" s="37"/>
      <c r="I198" s="37"/>
      <c r="J198" s="37"/>
      <c r="K198" s="37"/>
      <c r="L198" s="37"/>
    </row>
    <row r="199" spans="4:12" ht="15.75" customHeight="1">
      <c r="D199" s="37"/>
      <c r="E199" s="37"/>
      <c r="F199" s="37"/>
      <c r="G199" s="37"/>
      <c r="H199" s="37"/>
      <c r="I199" s="37"/>
      <c r="J199" s="37"/>
      <c r="K199" s="37"/>
      <c r="L199" s="37"/>
    </row>
    <row r="200" spans="4:12" ht="15.75" customHeight="1">
      <c r="D200" s="37"/>
      <c r="E200" s="37"/>
      <c r="F200" s="37"/>
      <c r="G200" s="37"/>
      <c r="H200" s="37"/>
      <c r="I200" s="37"/>
      <c r="J200" s="37"/>
      <c r="K200" s="37"/>
      <c r="L200" s="37"/>
    </row>
    <row r="201" spans="4:12" ht="15.75" customHeight="1">
      <c r="D201" s="37"/>
      <c r="E201" s="37"/>
      <c r="F201" s="37"/>
      <c r="G201" s="37"/>
      <c r="H201" s="37"/>
      <c r="I201" s="37"/>
      <c r="J201" s="37"/>
      <c r="K201" s="37"/>
      <c r="L201" s="37"/>
    </row>
    <row r="202" spans="4:12" ht="15.75" customHeight="1">
      <c r="D202" s="37"/>
      <c r="E202" s="37"/>
      <c r="F202" s="37"/>
      <c r="G202" s="37"/>
      <c r="H202" s="37"/>
      <c r="I202" s="37"/>
      <c r="J202" s="37"/>
      <c r="K202" s="37"/>
      <c r="L202" s="37"/>
    </row>
    <row r="203" spans="4:12" ht="15.75" customHeight="1">
      <c r="D203" s="37"/>
      <c r="E203" s="37"/>
      <c r="F203" s="37"/>
      <c r="G203" s="37"/>
      <c r="H203" s="37"/>
      <c r="I203" s="37"/>
      <c r="J203" s="37"/>
      <c r="K203" s="37"/>
      <c r="L203" s="37"/>
    </row>
    <row r="204" spans="4:12" ht="15.75" customHeight="1">
      <c r="D204" s="37"/>
      <c r="E204" s="37"/>
      <c r="F204" s="37"/>
      <c r="G204" s="37"/>
      <c r="H204" s="37"/>
      <c r="I204" s="37"/>
      <c r="J204" s="37"/>
      <c r="K204" s="37"/>
      <c r="L204" s="37"/>
    </row>
    <row r="205" spans="4:12" ht="15.75" customHeight="1">
      <c r="D205" s="37"/>
      <c r="E205" s="37"/>
      <c r="F205" s="37"/>
      <c r="G205" s="37"/>
      <c r="H205" s="37"/>
      <c r="I205" s="37"/>
      <c r="J205" s="37"/>
      <c r="K205" s="37"/>
      <c r="L205" s="37"/>
    </row>
    <row r="206" spans="4:12" ht="15.75" customHeight="1">
      <c r="D206" s="37"/>
      <c r="E206" s="37"/>
      <c r="F206" s="37"/>
      <c r="G206" s="37"/>
      <c r="H206" s="37"/>
      <c r="I206" s="37"/>
      <c r="J206" s="37"/>
      <c r="K206" s="37"/>
      <c r="L206" s="37"/>
    </row>
    <row r="207" spans="4:12" ht="15.75" customHeight="1">
      <c r="D207" s="37"/>
      <c r="E207" s="37"/>
      <c r="F207" s="37"/>
      <c r="G207" s="37"/>
      <c r="H207" s="37"/>
      <c r="I207" s="37"/>
      <c r="J207" s="37"/>
      <c r="K207" s="37"/>
      <c r="L207" s="37"/>
    </row>
    <row r="208" spans="4:12" ht="15.75" customHeight="1">
      <c r="D208" s="37"/>
      <c r="E208" s="37"/>
      <c r="F208" s="37"/>
      <c r="G208" s="37"/>
      <c r="H208" s="37"/>
      <c r="I208" s="37"/>
      <c r="J208" s="37"/>
      <c r="K208" s="37"/>
      <c r="L208" s="37"/>
    </row>
    <row r="209" spans="4:12" ht="15.75" customHeight="1">
      <c r="D209" s="37"/>
      <c r="E209" s="37"/>
      <c r="F209" s="37"/>
      <c r="G209" s="37"/>
      <c r="H209" s="37"/>
      <c r="I209" s="37"/>
      <c r="J209" s="37"/>
      <c r="K209" s="37"/>
      <c r="L209" s="37"/>
    </row>
    <row r="210" spans="4:12" ht="15.75" customHeight="1">
      <c r="D210" s="37"/>
      <c r="E210" s="37"/>
      <c r="F210" s="37"/>
      <c r="G210" s="37"/>
      <c r="H210" s="37"/>
      <c r="I210" s="37"/>
      <c r="J210" s="37"/>
      <c r="K210" s="37"/>
      <c r="L210" s="37"/>
    </row>
    <row r="211" spans="4:12" ht="15.75" customHeight="1">
      <c r="D211" s="37"/>
      <c r="E211" s="37"/>
      <c r="F211" s="37"/>
      <c r="G211" s="37"/>
      <c r="H211" s="37"/>
      <c r="I211" s="37"/>
      <c r="J211" s="37"/>
      <c r="K211" s="37"/>
      <c r="L211" s="37"/>
    </row>
    <row r="212" spans="4:12" ht="15.75" customHeight="1">
      <c r="D212" s="37"/>
      <c r="E212" s="37"/>
      <c r="F212" s="37"/>
      <c r="G212" s="37"/>
      <c r="H212" s="37"/>
      <c r="I212" s="37"/>
      <c r="J212" s="37"/>
      <c r="K212" s="37"/>
      <c r="L212" s="37"/>
    </row>
    <row r="213" spans="4:12" ht="15.75" customHeight="1">
      <c r="D213" s="37"/>
      <c r="E213" s="37"/>
      <c r="F213" s="37"/>
      <c r="G213" s="37"/>
      <c r="H213" s="37"/>
      <c r="I213" s="37"/>
      <c r="J213" s="37"/>
      <c r="K213" s="37"/>
      <c r="L213" s="37"/>
    </row>
    <row r="214" spans="4:12" ht="15.75" customHeight="1">
      <c r="D214" s="37"/>
      <c r="E214" s="37"/>
      <c r="F214" s="37"/>
      <c r="G214" s="37"/>
      <c r="H214" s="37"/>
      <c r="I214" s="37"/>
      <c r="J214" s="37"/>
      <c r="K214" s="37"/>
      <c r="L214" s="37"/>
    </row>
    <row r="215" spans="4:12" ht="15.75" customHeight="1">
      <c r="D215" s="37"/>
      <c r="E215" s="37"/>
      <c r="F215" s="37"/>
      <c r="G215" s="37"/>
      <c r="H215" s="37"/>
      <c r="I215" s="37"/>
      <c r="J215" s="37"/>
      <c r="K215" s="37"/>
      <c r="L215" s="37"/>
    </row>
    <row r="216" spans="4:12" ht="15.75" customHeight="1">
      <c r="D216" s="37"/>
      <c r="E216" s="37"/>
      <c r="F216" s="37"/>
      <c r="G216" s="37"/>
      <c r="H216" s="37"/>
      <c r="I216" s="37"/>
      <c r="J216" s="37"/>
      <c r="K216" s="37"/>
      <c r="L216" s="37"/>
    </row>
    <row r="217" spans="4:12" ht="15.75" customHeight="1">
      <c r="D217" s="37"/>
      <c r="E217" s="37"/>
      <c r="F217" s="37"/>
      <c r="G217" s="37"/>
      <c r="H217" s="37"/>
      <c r="I217" s="37"/>
      <c r="J217" s="37"/>
      <c r="K217" s="37"/>
      <c r="L217" s="37"/>
    </row>
    <row r="218" spans="4:12" ht="15.75" customHeight="1">
      <c r="D218" s="37"/>
      <c r="E218" s="37"/>
      <c r="F218" s="37"/>
      <c r="G218" s="37"/>
      <c r="H218" s="37"/>
      <c r="I218" s="37"/>
      <c r="J218" s="37"/>
      <c r="K218" s="37"/>
      <c r="L218" s="37"/>
    </row>
    <row r="219" spans="4:12" ht="15.75" customHeight="1">
      <c r="D219" s="37"/>
      <c r="E219" s="37"/>
      <c r="F219" s="37"/>
      <c r="G219" s="37"/>
      <c r="H219" s="37"/>
      <c r="I219" s="37"/>
      <c r="J219" s="37"/>
      <c r="K219" s="37"/>
      <c r="L219" s="37"/>
    </row>
    <row r="220" spans="4:12" ht="15.75" customHeight="1">
      <c r="D220" s="37"/>
      <c r="E220" s="37"/>
      <c r="F220" s="37"/>
      <c r="G220" s="37"/>
      <c r="H220" s="37"/>
      <c r="I220" s="37"/>
      <c r="J220" s="37"/>
      <c r="K220" s="37"/>
      <c r="L220" s="37"/>
    </row>
    <row r="221" spans="4:12" ht="15.75" customHeight="1">
      <c r="D221" s="37"/>
      <c r="E221" s="37"/>
      <c r="F221" s="37"/>
      <c r="G221" s="37"/>
      <c r="H221" s="37"/>
      <c r="I221" s="37"/>
      <c r="J221" s="37"/>
      <c r="K221" s="37"/>
      <c r="L221" s="37"/>
    </row>
    <row r="222" spans="4:12" ht="15.75" customHeight="1">
      <c r="D222" s="37"/>
      <c r="E222" s="37"/>
      <c r="F222" s="37"/>
      <c r="G222" s="37"/>
      <c r="H222" s="37"/>
      <c r="I222" s="37"/>
      <c r="J222" s="37"/>
      <c r="K222" s="37"/>
      <c r="L222" s="37"/>
    </row>
    <row r="223" spans="4:12" ht="15.75" customHeight="1">
      <c r="D223" s="37"/>
      <c r="E223" s="37"/>
      <c r="F223" s="37"/>
      <c r="G223" s="37"/>
      <c r="H223" s="37"/>
      <c r="I223" s="37"/>
      <c r="J223" s="37"/>
      <c r="K223" s="37"/>
      <c r="L223" s="37"/>
    </row>
    <row r="224" spans="4:12" ht="15.75" customHeight="1">
      <c r="D224" s="37"/>
      <c r="E224" s="37"/>
      <c r="F224" s="37"/>
      <c r="G224" s="37"/>
      <c r="H224" s="37"/>
      <c r="I224" s="37"/>
      <c r="J224" s="37"/>
      <c r="K224" s="37"/>
      <c r="L224" s="37"/>
    </row>
    <row r="225" spans="4:12" ht="15.75" customHeight="1">
      <c r="D225" s="37"/>
      <c r="E225" s="37"/>
      <c r="F225" s="37"/>
      <c r="G225" s="37"/>
      <c r="H225" s="37"/>
      <c r="I225" s="37"/>
      <c r="J225" s="37"/>
      <c r="K225" s="37"/>
      <c r="L225" s="37"/>
    </row>
    <row r="226" spans="4:12" ht="15.75" customHeight="1">
      <c r="D226" s="37"/>
      <c r="E226" s="37"/>
      <c r="F226" s="37"/>
      <c r="G226" s="37"/>
      <c r="H226" s="37"/>
      <c r="I226" s="37"/>
      <c r="J226" s="37"/>
      <c r="K226" s="37"/>
      <c r="L226" s="37"/>
    </row>
    <row r="227" spans="4:12" ht="15.75" customHeight="1">
      <c r="D227" s="37"/>
      <c r="E227" s="37"/>
      <c r="F227" s="37"/>
      <c r="G227" s="37"/>
      <c r="H227" s="37"/>
      <c r="I227" s="37"/>
      <c r="J227" s="37"/>
      <c r="K227" s="37"/>
      <c r="L227" s="37"/>
    </row>
    <row r="228" spans="4:12" ht="15.75" customHeight="1">
      <c r="D228" s="37"/>
      <c r="E228" s="37"/>
      <c r="F228" s="37"/>
      <c r="G228" s="37"/>
      <c r="H228" s="37"/>
      <c r="I228" s="37"/>
      <c r="J228" s="37"/>
      <c r="K228" s="37"/>
      <c r="L228" s="37"/>
    </row>
    <row r="229" spans="4:12" ht="15.75" customHeight="1">
      <c r="D229" s="37"/>
      <c r="E229" s="37"/>
      <c r="F229" s="37"/>
      <c r="G229" s="37"/>
      <c r="H229" s="37"/>
      <c r="I229" s="37"/>
      <c r="J229" s="37"/>
      <c r="K229" s="37"/>
      <c r="L229" s="37"/>
    </row>
    <row r="230" spans="4:12" ht="15.75" customHeight="1">
      <c r="D230" s="37"/>
      <c r="E230" s="37"/>
      <c r="F230" s="37"/>
      <c r="G230" s="37"/>
      <c r="H230" s="37"/>
      <c r="I230" s="37"/>
      <c r="J230" s="37"/>
      <c r="K230" s="37"/>
      <c r="L230" s="37"/>
    </row>
    <row r="231" spans="4:12" ht="15.75" customHeight="1">
      <c r="D231" s="37"/>
      <c r="E231" s="37"/>
      <c r="F231" s="37"/>
      <c r="G231" s="37"/>
      <c r="H231" s="37"/>
      <c r="I231" s="37"/>
      <c r="J231" s="37"/>
      <c r="K231" s="37"/>
      <c r="L231" s="37"/>
    </row>
    <row r="232" spans="4:12" ht="15.75" customHeight="1">
      <c r="D232" s="37"/>
      <c r="E232" s="37"/>
      <c r="F232" s="37"/>
      <c r="G232" s="37"/>
      <c r="H232" s="37"/>
      <c r="I232" s="37"/>
      <c r="J232" s="37"/>
      <c r="K232" s="37"/>
      <c r="L232" s="37"/>
    </row>
    <row r="233" spans="4:12" ht="15.75" customHeight="1">
      <c r="D233" s="37"/>
      <c r="E233" s="37"/>
      <c r="F233" s="37"/>
      <c r="G233" s="37"/>
      <c r="H233" s="37"/>
      <c r="I233" s="37"/>
      <c r="J233" s="37"/>
      <c r="K233" s="37"/>
      <c r="L233" s="37"/>
    </row>
    <row r="234" spans="4:12" ht="15.75" customHeight="1">
      <c r="D234" s="37"/>
      <c r="E234" s="37"/>
      <c r="F234" s="37"/>
      <c r="G234" s="37"/>
      <c r="H234" s="37"/>
      <c r="I234" s="37"/>
      <c r="J234" s="37"/>
      <c r="K234" s="37"/>
      <c r="L234" s="37"/>
    </row>
    <row r="235" spans="4:12" ht="15.75" customHeight="1"/>
    <row r="236" spans="4:12" ht="15.75" customHeight="1"/>
    <row r="237" spans="4:12" ht="15.75" customHeight="1"/>
    <row r="238" spans="4:12" ht="15.75" customHeight="1"/>
    <row r="239" spans="4:12" ht="15.75" customHeight="1"/>
    <row r="240" spans="4: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34:L34"/>
    <mergeCell ref="A1:A3"/>
    <mergeCell ref="A26:C27"/>
    <mergeCell ref="J26:L28"/>
    <mergeCell ref="A28:C28"/>
    <mergeCell ref="D28:I28"/>
    <mergeCell ref="A29:L29"/>
    <mergeCell ref="A30:L30"/>
    <mergeCell ref="A5:L5"/>
    <mergeCell ref="A6:J6"/>
    <mergeCell ref="A31:L31"/>
    <mergeCell ref="A32:L32"/>
    <mergeCell ref="A33:L33"/>
    <mergeCell ref="B1:J3"/>
    <mergeCell ref="K1:L1"/>
    <mergeCell ref="K2:L2"/>
    <mergeCell ref="K3:L3"/>
    <mergeCell ref="B4:L4"/>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9DAF8"/>
  </sheetPr>
  <dimension ref="A1:AB1000"/>
  <sheetViews>
    <sheetView workbookViewId="0">
      <selection sqref="A1:A3"/>
    </sheetView>
  </sheetViews>
  <sheetFormatPr baseColWidth="10" defaultColWidth="14.42578125" defaultRowHeight="15" customHeight="1"/>
  <cols>
    <col min="1" max="1" width="27.5703125" customWidth="1"/>
    <col min="2" max="2" width="16.28515625" customWidth="1"/>
    <col min="3" max="3" width="8.85546875" customWidth="1"/>
    <col min="4" max="4" width="16.28515625" customWidth="1"/>
    <col min="5" max="5" width="16.85546875" customWidth="1"/>
    <col min="6" max="6" width="17.5703125" customWidth="1"/>
    <col min="7" max="7" width="27.140625" customWidth="1"/>
    <col min="8" max="8" width="41.5703125" customWidth="1"/>
    <col min="9" max="9" width="19.85546875" customWidth="1"/>
    <col min="10" max="28" width="8" customWidth="1"/>
  </cols>
  <sheetData>
    <row r="1" spans="1:28" ht="21" customHeight="1">
      <c r="A1" s="127"/>
      <c r="B1" s="129" t="s">
        <v>55</v>
      </c>
      <c r="C1" s="130"/>
      <c r="D1" s="130"/>
      <c r="E1" s="130"/>
      <c r="F1" s="130"/>
      <c r="G1" s="131"/>
      <c r="H1" s="62" t="s">
        <v>56</v>
      </c>
      <c r="I1" s="112"/>
    </row>
    <row r="2" spans="1:28" ht="21" customHeight="1">
      <c r="A2" s="128"/>
      <c r="B2" s="132"/>
      <c r="C2" s="128"/>
      <c r="D2" s="128"/>
      <c r="E2" s="128"/>
      <c r="F2" s="128"/>
      <c r="G2" s="133"/>
      <c r="H2" s="62" t="s">
        <v>2</v>
      </c>
      <c r="I2" s="112"/>
    </row>
    <row r="3" spans="1:28" ht="18" customHeight="1">
      <c r="A3" s="135"/>
      <c r="B3" s="134"/>
      <c r="C3" s="135"/>
      <c r="D3" s="135"/>
      <c r="E3" s="135"/>
      <c r="F3" s="135"/>
      <c r="G3" s="136"/>
      <c r="H3" s="62" t="s">
        <v>3</v>
      </c>
      <c r="I3" s="112"/>
    </row>
    <row r="4" spans="1:28" ht="36" customHeight="1">
      <c r="A4" s="63" t="s">
        <v>4</v>
      </c>
      <c r="B4" s="170" t="s">
        <v>5</v>
      </c>
      <c r="C4" s="140"/>
      <c r="D4" s="140"/>
      <c r="E4" s="140"/>
      <c r="F4" s="140"/>
      <c r="G4" s="140"/>
      <c r="H4" s="138"/>
      <c r="I4" s="112"/>
      <c r="J4" s="64"/>
      <c r="K4" s="64"/>
      <c r="L4" s="64"/>
      <c r="M4" s="64"/>
      <c r="N4" s="64"/>
      <c r="O4" s="64"/>
      <c r="P4" s="64"/>
      <c r="Q4" s="64"/>
      <c r="R4" s="64"/>
      <c r="S4" s="64"/>
      <c r="T4" s="64"/>
      <c r="U4" s="64"/>
      <c r="V4" s="64"/>
      <c r="W4" s="64"/>
      <c r="X4" s="64"/>
      <c r="Y4" s="64"/>
      <c r="Z4" s="64"/>
      <c r="AA4" s="64"/>
      <c r="AB4" s="64"/>
    </row>
    <row r="5" spans="1:28" ht="36" customHeight="1">
      <c r="A5" s="141" t="s">
        <v>57</v>
      </c>
      <c r="B5" s="140"/>
      <c r="C5" s="140"/>
      <c r="D5" s="140"/>
      <c r="E5" s="140"/>
      <c r="F5" s="140"/>
      <c r="G5" s="140"/>
      <c r="H5" s="138"/>
      <c r="I5" s="112"/>
      <c r="J5" s="64"/>
      <c r="K5" s="64"/>
      <c r="L5" s="64"/>
      <c r="M5" s="64"/>
      <c r="N5" s="64"/>
      <c r="O5" s="64"/>
      <c r="P5" s="64"/>
      <c r="Q5" s="64"/>
      <c r="R5" s="64"/>
      <c r="S5" s="64"/>
      <c r="T5" s="64"/>
      <c r="U5" s="64"/>
      <c r="V5" s="64"/>
      <c r="W5" s="64"/>
      <c r="X5" s="64"/>
      <c r="Y5" s="64"/>
      <c r="Z5" s="64"/>
      <c r="AA5" s="64"/>
      <c r="AB5" s="64"/>
    </row>
    <row r="6" spans="1:28" ht="36" customHeight="1">
      <c r="A6" s="141" t="s">
        <v>7</v>
      </c>
      <c r="B6" s="140"/>
      <c r="C6" s="140"/>
      <c r="D6" s="140"/>
      <c r="E6" s="140"/>
      <c r="F6" s="140"/>
      <c r="G6" s="138"/>
      <c r="H6" s="2" t="s">
        <v>58</v>
      </c>
      <c r="I6" s="112"/>
      <c r="J6" s="64"/>
      <c r="K6" s="64"/>
      <c r="L6" s="64"/>
      <c r="M6" s="64"/>
      <c r="N6" s="64"/>
      <c r="O6" s="64"/>
      <c r="P6" s="64"/>
      <c r="Q6" s="64"/>
      <c r="R6" s="64"/>
      <c r="S6" s="64"/>
      <c r="T6" s="64"/>
      <c r="U6" s="64"/>
      <c r="V6" s="64"/>
      <c r="W6" s="64"/>
      <c r="X6" s="64"/>
      <c r="Y6" s="64"/>
      <c r="Z6" s="64"/>
      <c r="AA6" s="64"/>
      <c r="AB6" s="64"/>
    </row>
    <row r="7" spans="1:28" ht="48">
      <c r="A7" s="4" t="s">
        <v>11</v>
      </c>
      <c r="B7" s="4" t="s">
        <v>12</v>
      </c>
      <c r="C7" s="4" t="s">
        <v>38</v>
      </c>
      <c r="D7" s="4" t="s">
        <v>59</v>
      </c>
      <c r="E7" s="4" t="s">
        <v>60</v>
      </c>
      <c r="F7" s="5" t="s">
        <v>61</v>
      </c>
      <c r="G7" s="5" t="s">
        <v>62</v>
      </c>
      <c r="H7" s="5" t="s">
        <v>19</v>
      </c>
      <c r="I7" s="113" t="s">
        <v>21</v>
      </c>
    </row>
    <row r="8" spans="1:28">
      <c r="A8" s="94"/>
      <c r="B8" s="68"/>
      <c r="C8" s="14"/>
      <c r="D8" s="14"/>
      <c r="E8" s="14"/>
      <c r="F8" s="14"/>
      <c r="G8" s="14"/>
      <c r="H8" s="14"/>
      <c r="I8" s="114"/>
    </row>
    <row r="9" spans="1:28">
      <c r="A9" s="94"/>
      <c r="B9" s="68"/>
      <c r="C9" s="14"/>
      <c r="D9" s="14"/>
      <c r="E9" s="14"/>
      <c r="F9" s="14"/>
      <c r="G9" s="14"/>
      <c r="H9" s="14"/>
      <c r="I9" s="10"/>
    </row>
    <row r="10" spans="1:28">
      <c r="A10" s="94"/>
      <c r="B10" s="68"/>
      <c r="C10" s="14"/>
      <c r="D10" s="14"/>
      <c r="E10" s="14"/>
      <c r="F10" s="14"/>
      <c r="G10" s="14"/>
      <c r="H10" s="14"/>
      <c r="I10" s="66"/>
    </row>
    <row r="11" spans="1:28">
      <c r="A11" s="94"/>
      <c r="B11" s="68"/>
      <c r="C11" s="14"/>
      <c r="D11" s="14"/>
      <c r="E11" s="14"/>
      <c r="F11" s="14"/>
      <c r="G11" s="14"/>
      <c r="H11" s="14"/>
      <c r="I11" s="10"/>
    </row>
    <row r="12" spans="1:28">
      <c r="A12" s="94"/>
      <c r="B12" s="68"/>
      <c r="C12" s="14"/>
      <c r="D12" s="14"/>
      <c r="E12" s="14"/>
      <c r="F12" s="14"/>
      <c r="G12" s="14"/>
      <c r="H12" s="115"/>
      <c r="I12" s="66"/>
    </row>
    <row r="13" spans="1:28">
      <c r="A13" s="94"/>
      <c r="B13" s="109"/>
      <c r="C13" s="14"/>
      <c r="D13" s="14"/>
      <c r="E13" s="14"/>
      <c r="F13" s="14"/>
      <c r="G13" s="14"/>
      <c r="H13" s="115"/>
      <c r="I13" s="66"/>
    </row>
    <row r="14" spans="1:28">
      <c r="A14" s="94"/>
      <c r="B14" s="9"/>
      <c r="C14" s="14"/>
      <c r="D14" s="14"/>
      <c r="E14" s="14"/>
      <c r="F14" s="14"/>
      <c r="G14" s="14"/>
      <c r="H14" s="14"/>
      <c r="I14" s="10"/>
    </row>
    <row r="15" spans="1:28">
      <c r="A15" s="94"/>
      <c r="B15" s="9"/>
      <c r="C15" s="14"/>
      <c r="D15" s="14"/>
      <c r="E15" s="14"/>
      <c r="F15" s="14"/>
      <c r="G15" s="14"/>
      <c r="H15" s="14"/>
      <c r="I15" s="10"/>
    </row>
    <row r="16" spans="1:28">
      <c r="A16" s="94"/>
      <c r="B16" s="84"/>
      <c r="C16" s="14"/>
      <c r="D16" s="14"/>
      <c r="E16" s="14"/>
      <c r="F16" s="14"/>
      <c r="G16" s="82"/>
      <c r="H16" s="82"/>
      <c r="I16" s="10"/>
    </row>
    <row r="17" spans="1:28">
      <c r="A17" s="94"/>
      <c r="B17" s="84"/>
      <c r="C17" s="14"/>
      <c r="D17" s="82"/>
      <c r="E17" s="82"/>
      <c r="F17" s="82"/>
      <c r="G17" s="82"/>
      <c r="H17" s="82"/>
      <c r="I17" s="10"/>
    </row>
    <row r="18" spans="1:28">
      <c r="A18" s="101"/>
      <c r="B18" s="84"/>
      <c r="C18" s="14"/>
      <c r="D18" s="82"/>
      <c r="E18" s="82"/>
      <c r="F18" s="82"/>
      <c r="G18" s="82"/>
      <c r="H18" s="82"/>
      <c r="I18" s="10"/>
    </row>
    <row r="19" spans="1:28">
      <c r="A19" s="101"/>
      <c r="B19" s="84"/>
      <c r="C19" s="14"/>
      <c r="D19" s="82"/>
      <c r="E19" s="82"/>
      <c r="F19" s="82"/>
      <c r="G19" s="82"/>
      <c r="H19" s="82"/>
      <c r="I19" s="10"/>
    </row>
    <row r="20" spans="1:28">
      <c r="A20" s="101"/>
      <c r="B20" s="84"/>
      <c r="C20" s="14"/>
      <c r="D20" s="82"/>
      <c r="E20" s="82"/>
      <c r="F20" s="82"/>
      <c r="G20" s="82"/>
      <c r="H20" s="82"/>
      <c r="I20" s="66"/>
    </row>
    <row r="21" spans="1:28" ht="15.75" customHeight="1">
      <c r="A21" s="101"/>
      <c r="B21" s="84"/>
      <c r="C21" s="14"/>
      <c r="D21" s="82"/>
      <c r="E21" s="82"/>
      <c r="F21" s="82"/>
      <c r="G21" s="82"/>
      <c r="H21" s="82"/>
      <c r="I21" s="10"/>
    </row>
    <row r="22" spans="1:28" ht="16.5" customHeight="1">
      <c r="A22" s="101"/>
      <c r="B22" s="84"/>
      <c r="C22" s="14"/>
      <c r="D22" s="82"/>
      <c r="E22" s="82"/>
      <c r="F22" s="82"/>
      <c r="G22" s="82"/>
      <c r="H22" s="82"/>
      <c r="I22" s="10"/>
    </row>
    <row r="23" spans="1:28" ht="16.5" customHeight="1">
      <c r="A23" s="101"/>
      <c r="B23" s="85"/>
      <c r="C23" s="9"/>
      <c r="D23" s="18"/>
      <c r="E23" s="18"/>
      <c r="F23" s="18"/>
      <c r="G23" s="10"/>
      <c r="H23" s="10"/>
      <c r="I23" s="10"/>
      <c r="J23" s="37"/>
      <c r="K23" s="37"/>
      <c r="L23" s="37"/>
      <c r="M23" s="37"/>
      <c r="N23" s="37"/>
      <c r="O23" s="37"/>
      <c r="P23" s="37"/>
      <c r="Q23" s="37"/>
      <c r="R23" s="37"/>
      <c r="S23" s="37"/>
      <c r="T23" s="37"/>
      <c r="U23" s="37"/>
      <c r="V23" s="37"/>
      <c r="W23" s="37"/>
      <c r="X23" s="37"/>
      <c r="Y23" s="37"/>
      <c r="Z23" s="37"/>
      <c r="AA23" s="37"/>
      <c r="AB23" s="37"/>
    </row>
    <row r="24" spans="1:28" ht="16.5" customHeight="1">
      <c r="A24" s="58"/>
      <c r="B24" s="25"/>
      <c r="C24" s="59"/>
      <c r="D24" s="110"/>
      <c r="E24" s="110"/>
      <c r="F24" s="110"/>
      <c r="G24" s="10"/>
      <c r="H24" s="10"/>
      <c r="I24" s="10"/>
      <c r="J24" s="37"/>
      <c r="K24" s="37"/>
      <c r="L24" s="37"/>
      <c r="M24" s="37"/>
      <c r="N24" s="37"/>
      <c r="O24" s="37"/>
      <c r="P24" s="37"/>
      <c r="Q24" s="37"/>
      <c r="R24" s="37"/>
      <c r="S24" s="37"/>
      <c r="T24" s="37"/>
      <c r="U24" s="37"/>
      <c r="V24" s="37"/>
      <c r="W24" s="37"/>
      <c r="X24" s="37"/>
      <c r="Y24" s="37"/>
      <c r="Z24" s="37"/>
      <c r="AA24" s="37"/>
      <c r="AB24" s="37"/>
    </row>
    <row r="25" spans="1:28" ht="16.5" customHeight="1">
      <c r="A25" s="58"/>
      <c r="B25" s="25"/>
      <c r="C25" s="59"/>
      <c r="D25" s="110"/>
      <c r="E25" s="110"/>
      <c r="F25" s="110"/>
      <c r="G25" s="10"/>
      <c r="H25" s="10"/>
      <c r="I25" s="10"/>
      <c r="J25" s="37"/>
      <c r="K25" s="37"/>
      <c r="L25" s="37"/>
      <c r="M25" s="37"/>
      <c r="N25" s="37"/>
      <c r="O25" s="37"/>
      <c r="P25" s="37"/>
      <c r="Q25" s="37"/>
      <c r="R25" s="37"/>
      <c r="S25" s="37"/>
      <c r="T25" s="37"/>
      <c r="U25" s="37"/>
      <c r="V25" s="37"/>
      <c r="W25" s="37"/>
      <c r="X25" s="37"/>
      <c r="Y25" s="37"/>
      <c r="Z25" s="37"/>
      <c r="AA25" s="37"/>
      <c r="AB25" s="37"/>
    </row>
    <row r="26" spans="1:28" ht="16.5" customHeight="1">
      <c r="A26" s="58"/>
      <c r="B26" s="25"/>
      <c r="C26" s="59"/>
      <c r="D26" s="110"/>
      <c r="E26" s="110"/>
      <c r="F26" s="110"/>
      <c r="G26" s="10"/>
      <c r="H26" s="10"/>
      <c r="I26" s="37"/>
      <c r="J26" s="37"/>
      <c r="K26" s="37"/>
      <c r="L26" s="37"/>
      <c r="M26" s="37"/>
      <c r="N26" s="37"/>
      <c r="O26" s="37"/>
      <c r="P26" s="37"/>
      <c r="Q26" s="37"/>
      <c r="R26" s="37"/>
      <c r="S26" s="37"/>
      <c r="T26" s="37"/>
      <c r="U26" s="37"/>
      <c r="V26" s="37"/>
      <c r="W26" s="37"/>
      <c r="X26" s="37"/>
      <c r="Y26" s="37"/>
      <c r="Z26" s="37"/>
      <c r="AA26" s="37"/>
      <c r="AB26" s="37"/>
    </row>
    <row r="27" spans="1:28" ht="16.5" customHeight="1">
      <c r="A27" s="58"/>
      <c r="B27" s="25"/>
      <c r="C27" s="59"/>
      <c r="D27" s="110"/>
      <c r="E27" s="110"/>
      <c r="F27" s="110"/>
      <c r="G27" s="10"/>
      <c r="H27" s="10"/>
      <c r="I27" s="37"/>
      <c r="J27" s="37"/>
      <c r="K27" s="37"/>
      <c r="L27" s="37"/>
      <c r="M27" s="37"/>
      <c r="N27" s="37"/>
      <c r="O27" s="37"/>
      <c r="P27" s="37"/>
      <c r="Q27" s="37"/>
      <c r="R27" s="37"/>
      <c r="S27" s="37"/>
      <c r="T27" s="37"/>
      <c r="U27" s="37"/>
      <c r="V27" s="37"/>
      <c r="W27" s="37"/>
      <c r="X27" s="37"/>
      <c r="Y27" s="37"/>
      <c r="Z27" s="37"/>
      <c r="AA27" s="37"/>
      <c r="AB27" s="37"/>
    </row>
    <row r="28" spans="1:28" ht="15.75" customHeight="1">
      <c r="A28" s="116"/>
      <c r="B28" s="25"/>
      <c r="C28" s="59"/>
      <c r="D28" s="53"/>
      <c r="E28" s="53"/>
      <c r="F28" s="53"/>
      <c r="G28" s="10"/>
      <c r="H28" s="10"/>
      <c r="I28" s="37"/>
      <c r="J28" s="37"/>
      <c r="K28" s="37"/>
      <c r="L28" s="37"/>
      <c r="M28" s="37"/>
      <c r="N28" s="37"/>
      <c r="O28" s="37"/>
      <c r="P28" s="37"/>
      <c r="Q28" s="37"/>
      <c r="R28" s="37"/>
      <c r="S28" s="37"/>
      <c r="T28" s="37"/>
      <c r="U28" s="37"/>
      <c r="V28" s="37"/>
      <c r="W28" s="37"/>
      <c r="X28" s="37"/>
      <c r="Y28" s="37"/>
      <c r="Z28" s="37"/>
      <c r="AA28" s="37"/>
      <c r="AB28" s="37"/>
    </row>
    <row r="29" spans="1:28" ht="15.75" customHeight="1">
      <c r="A29" s="116"/>
      <c r="B29" s="25"/>
      <c r="C29" s="59"/>
      <c r="D29" s="53"/>
      <c r="E29" s="53"/>
      <c r="F29" s="53"/>
      <c r="G29" s="10"/>
      <c r="H29" s="10"/>
    </row>
    <row r="30" spans="1:28" ht="15.75" customHeight="1">
      <c r="A30" s="116"/>
      <c r="B30" s="25"/>
      <c r="C30" s="73"/>
      <c r="D30" s="75"/>
      <c r="E30" s="75"/>
      <c r="F30" s="75"/>
      <c r="G30" s="89"/>
      <c r="H30" s="10"/>
    </row>
    <row r="31" spans="1:28" ht="15.75" customHeight="1">
      <c r="A31" s="116"/>
      <c r="B31" s="25"/>
      <c r="C31" s="59"/>
      <c r="D31" s="53"/>
      <c r="E31" s="53"/>
      <c r="F31" s="53"/>
      <c r="G31" s="19"/>
      <c r="H31" s="19"/>
    </row>
    <row r="32" spans="1:28" ht="15.75" customHeight="1">
      <c r="A32" s="116"/>
      <c r="B32" s="25"/>
      <c r="C32" s="59"/>
      <c r="D32" s="53"/>
      <c r="E32" s="53"/>
      <c r="F32" s="53"/>
      <c r="G32" s="19"/>
      <c r="H32" s="19"/>
    </row>
    <row r="33" spans="1:8" ht="15.75" customHeight="1">
      <c r="A33" s="116"/>
      <c r="B33" s="117"/>
      <c r="C33" s="59"/>
      <c r="D33" s="53"/>
      <c r="E33" s="53"/>
      <c r="F33" s="53"/>
      <c r="G33" s="19"/>
      <c r="H33" s="19"/>
    </row>
    <row r="34" spans="1:8" ht="15.75" customHeight="1">
      <c r="A34" s="116"/>
      <c r="B34" s="117"/>
      <c r="C34" s="59"/>
      <c r="D34" s="53"/>
      <c r="E34" s="53"/>
      <c r="F34" s="53"/>
      <c r="G34" s="19"/>
      <c r="H34" s="19"/>
    </row>
    <row r="35" spans="1:8" ht="15.75" customHeight="1">
      <c r="A35" s="116"/>
      <c r="B35" s="25"/>
      <c r="C35" s="59"/>
      <c r="D35" s="53"/>
      <c r="E35" s="53"/>
      <c r="F35" s="53"/>
      <c r="G35" s="19"/>
      <c r="H35" s="19"/>
    </row>
    <row r="36" spans="1:8" ht="15.75" customHeight="1">
      <c r="A36" s="116"/>
      <c r="B36" s="118"/>
      <c r="C36" s="59"/>
      <c r="D36" s="53"/>
      <c r="E36" s="53"/>
      <c r="F36" s="53"/>
      <c r="G36" s="19"/>
      <c r="H36" s="19"/>
    </row>
    <row r="37" spans="1:8" ht="15.75" customHeight="1">
      <c r="A37" s="116"/>
      <c r="B37" s="25"/>
      <c r="C37" s="59"/>
      <c r="D37" s="53"/>
      <c r="E37" s="53"/>
      <c r="F37" s="53"/>
      <c r="G37" s="19"/>
      <c r="H37" s="19"/>
    </row>
    <row r="38" spans="1:8" ht="15.75" customHeight="1">
      <c r="A38" s="116"/>
      <c r="B38" s="10"/>
      <c r="C38" s="59"/>
      <c r="D38" s="53"/>
      <c r="E38" s="53"/>
      <c r="F38" s="53"/>
      <c r="G38" s="19"/>
      <c r="H38" s="19"/>
    </row>
    <row r="39" spans="1:8" ht="15.75" customHeight="1">
      <c r="A39" s="119"/>
      <c r="B39" s="89"/>
      <c r="C39" s="73"/>
      <c r="D39" s="75"/>
      <c r="E39" s="75"/>
      <c r="F39" s="75"/>
      <c r="G39" s="76"/>
      <c r="H39" s="19"/>
    </row>
    <row r="40" spans="1:8" ht="15.75" customHeight="1">
      <c r="A40" s="150">
        <f>SUM(C9:C39)</f>
        <v>0</v>
      </c>
      <c r="B40" s="130"/>
      <c r="C40" s="131"/>
      <c r="D40" s="60">
        <f t="shared" ref="D40:G40" si="0">(COUNTIF(D8:D39,"SI")*1+COUNTIF(D8:D39,"NO")*0+COUNTIF(D8:D39,"NA")*0)</f>
        <v>0</v>
      </c>
      <c r="E40" s="60">
        <f t="shared" si="0"/>
        <v>0</v>
      </c>
      <c r="F40" s="60">
        <f t="shared" si="0"/>
        <v>0</v>
      </c>
      <c r="G40" s="60">
        <f t="shared" si="0"/>
        <v>0</v>
      </c>
      <c r="H40" s="177"/>
    </row>
    <row r="41" spans="1:8" ht="15.75" customHeight="1">
      <c r="A41" s="134"/>
      <c r="B41" s="135"/>
      <c r="C41" s="136"/>
      <c r="D41" s="61" t="e">
        <f>(D40/A40)*100</f>
        <v>#DIV/0!</v>
      </c>
      <c r="E41" s="61" t="e">
        <f>(E40/A40)*100</f>
        <v>#DIV/0!</v>
      </c>
      <c r="F41" s="61" t="e">
        <f>(F40/A40)*100</f>
        <v>#DIV/0!</v>
      </c>
      <c r="G41" s="61" t="e">
        <f>(G40/A40)*100</f>
        <v>#DIV/0!</v>
      </c>
      <c r="H41" s="133"/>
    </row>
    <row r="42" spans="1:8" ht="15.75" customHeight="1">
      <c r="A42" s="168" t="s">
        <v>77</v>
      </c>
      <c r="B42" s="140"/>
      <c r="C42" s="138"/>
      <c r="D42" s="176" t="e">
        <f>SUM(D41+E41+F41+G41)/4</f>
        <v>#DIV/0!</v>
      </c>
      <c r="E42" s="140"/>
      <c r="F42" s="140"/>
      <c r="G42" s="138"/>
      <c r="H42" s="136"/>
    </row>
    <row r="43" spans="1:8" ht="15.75" customHeight="1">
      <c r="A43" s="156" t="s">
        <v>63</v>
      </c>
      <c r="B43" s="135"/>
      <c r="C43" s="135"/>
      <c r="D43" s="135"/>
      <c r="E43" s="135"/>
      <c r="F43" s="135"/>
      <c r="G43" s="135"/>
      <c r="H43" s="136"/>
    </row>
    <row r="44" spans="1:8" ht="15.75" customHeight="1">
      <c r="A44" s="157" t="s">
        <v>64</v>
      </c>
      <c r="B44" s="140"/>
      <c r="C44" s="140"/>
      <c r="D44" s="140"/>
      <c r="E44" s="140"/>
      <c r="F44" s="140"/>
      <c r="G44" s="140"/>
      <c r="H44" s="138"/>
    </row>
    <row r="45" spans="1:8" ht="15.75" customHeight="1">
      <c r="A45" s="158" t="s">
        <v>65</v>
      </c>
      <c r="B45" s="140"/>
      <c r="C45" s="140"/>
      <c r="D45" s="140"/>
      <c r="E45" s="140"/>
      <c r="F45" s="140"/>
      <c r="G45" s="140"/>
      <c r="H45" s="138"/>
    </row>
    <row r="46" spans="1:8" ht="15.75" customHeight="1">
      <c r="A46" s="159" t="s">
        <v>66</v>
      </c>
      <c r="B46" s="140"/>
      <c r="C46" s="140"/>
      <c r="D46" s="140"/>
      <c r="E46" s="140"/>
      <c r="F46" s="140"/>
      <c r="G46" s="140"/>
      <c r="H46" s="138"/>
    </row>
    <row r="47" spans="1:8" ht="15.75" customHeight="1">
      <c r="D47" s="37"/>
      <c r="E47" s="37"/>
      <c r="F47" s="37"/>
    </row>
    <row r="48" spans="1:8" ht="15.75" customHeight="1">
      <c r="D48" s="37"/>
      <c r="E48" s="37"/>
      <c r="F48" s="37"/>
    </row>
    <row r="49" spans="4:6" ht="15.75" customHeight="1">
      <c r="D49" s="37"/>
      <c r="E49" s="37"/>
      <c r="F49" s="37"/>
    </row>
    <row r="50" spans="4:6" ht="15.75" customHeight="1">
      <c r="D50" s="37"/>
      <c r="E50" s="37"/>
      <c r="F50" s="37"/>
    </row>
    <row r="51" spans="4:6" ht="15.75" customHeight="1">
      <c r="D51" s="37"/>
      <c r="E51" s="37"/>
      <c r="F51" s="37"/>
    </row>
    <row r="52" spans="4:6" ht="15.75" customHeight="1">
      <c r="D52" s="37"/>
      <c r="E52" s="37"/>
      <c r="F52" s="37"/>
    </row>
    <row r="53" spans="4:6" ht="15.75" customHeight="1">
      <c r="D53" s="37"/>
      <c r="E53" s="37"/>
      <c r="F53" s="37"/>
    </row>
    <row r="54" spans="4:6" ht="15.75" customHeight="1">
      <c r="D54" s="37"/>
      <c r="E54" s="37"/>
      <c r="F54" s="37"/>
    </row>
    <row r="55" spans="4:6" ht="15.75" customHeight="1">
      <c r="D55" s="37"/>
      <c r="E55" s="37"/>
      <c r="F55" s="37"/>
    </row>
    <row r="56" spans="4:6" ht="15.75" customHeight="1">
      <c r="D56" s="37"/>
      <c r="E56" s="37"/>
      <c r="F56" s="37"/>
    </row>
    <row r="57" spans="4:6" ht="15.75" customHeight="1">
      <c r="D57" s="37"/>
      <c r="E57" s="37"/>
      <c r="F57" s="37"/>
    </row>
    <row r="58" spans="4:6" ht="15.75" customHeight="1">
      <c r="D58" s="37"/>
      <c r="E58" s="37"/>
      <c r="F58" s="37"/>
    </row>
    <row r="59" spans="4:6" ht="15.75" customHeight="1">
      <c r="D59" s="37"/>
      <c r="E59" s="37"/>
      <c r="F59" s="37"/>
    </row>
    <row r="60" spans="4:6" ht="15.75" customHeight="1">
      <c r="D60" s="37"/>
      <c r="E60" s="37"/>
      <c r="F60" s="37"/>
    </row>
    <row r="61" spans="4:6" ht="15.75" customHeight="1">
      <c r="D61" s="37"/>
      <c r="E61" s="37"/>
      <c r="F61" s="37"/>
    </row>
    <row r="62" spans="4:6" ht="15.75" customHeight="1">
      <c r="D62" s="37"/>
      <c r="E62" s="37"/>
      <c r="F62" s="37"/>
    </row>
    <row r="63" spans="4:6" ht="15.75" customHeight="1">
      <c r="D63" s="37"/>
      <c r="E63" s="37"/>
      <c r="F63" s="37"/>
    </row>
    <row r="64" spans="4:6" ht="15.75" customHeight="1">
      <c r="D64" s="37"/>
      <c r="E64" s="37"/>
      <c r="F64" s="37"/>
    </row>
    <row r="65" spans="4:6" ht="15.75" customHeight="1">
      <c r="D65" s="37"/>
      <c r="E65" s="37"/>
      <c r="F65" s="37"/>
    </row>
    <row r="66" spans="4:6" ht="15.75" customHeight="1">
      <c r="D66" s="37"/>
      <c r="E66" s="37"/>
      <c r="F66" s="37"/>
    </row>
    <row r="67" spans="4:6" ht="15.75" customHeight="1">
      <c r="D67" s="37"/>
      <c r="E67" s="37"/>
      <c r="F67" s="37"/>
    </row>
    <row r="68" spans="4:6" ht="15.75" customHeight="1">
      <c r="D68" s="37"/>
      <c r="E68" s="37"/>
      <c r="F68" s="37"/>
    </row>
    <row r="69" spans="4:6" ht="15.75" customHeight="1">
      <c r="D69" s="37"/>
      <c r="E69" s="37"/>
      <c r="F69" s="37"/>
    </row>
    <row r="70" spans="4:6" ht="15.75" customHeight="1">
      <c r="D70" s="37"/>
      <c r="E70" s="37"/>
      <c r="F70" s="37"/>
    </row>
    <row r="71" spans="4:6" ht="15.75" customHeight="1">
      <c r="D71" s="37"/>
      <c r="E71" s="37"/>
      <c r="F71" s="37"/>
    </row>
    <row r="72" spans="4:6" ht="15.75" customHeight="1">
      <c r="D72" s="37"/>
      <c r="E72" s="37"/>
      <c r="F72" s="37"/>
    </row>
    <row r="73" spans="4:6" ht="15.75" customHeight="1">
      <c r="D73" s="37"/>
      <c r="E73" s="37"/>
      <c r="F73" s="37"/>
    </row>
    <row r="74" spans="4:6" ht="15.75" customHeight="1">
      <c r="D74" s="37"/>
      <c r="E74" s="37"/>
      <c r="F74" s="37"/>
    </row>
    <row r="75" spans="4:6" ht="15.75" customHeight="1">
      <c r="D75" s="37"/>
      <c r="E75" s="37"/>
      <c r="F75" s="37"/>
    </row>
    <row r="76" spans="4:6" ht="15.75" customHeight="1">
      <c r="D76" s="37"/>
      <c r="E76" s="37"/>
      <c r="F76" s="37"/>
    </row>
    <row r="77" spans="4:6" ht="15.75" customHeight="1">
      <c r="D77" s="37"/>
      <c r="E77" s="37"/>
      <c r="F77" s="37"/>
    </row>
    <row r="78" spans="4:6" ht="15.75" customHeight="1">
      <c r="D78" s="37"/>
      <c r="E78" s="37"/>
      <c r="F78" s="37"/>
    </row>
    <row r="79" spans="4:6" ht="15.75" customHeight="1">
      <c r="D79" s="37"/>
      <c r="E79" s="37"/>
      <c r="F79" s="37"/>
    </row>
    <row r="80" spans="4:6" ht="15.75" customHeight="1">
      <c r="D80" s="37"/>
      <c r="E80" s="37"/>
      <c r="F80" s="37"/>
    </row>
    <row r="81" spans="4:6" ht="15.75" customHeight="1">
      <c r="D81" s="37"/>
      <c r="E81" s="37"/>
      <c r="F81" s="37"/>
    </row>
    <row r="82" spans="4:6" ht="15.75" customHeight="1">
      <c r="D82" s="37"/>
      <c r="E82" s="37"/>
      <c r="F82" s="37"/>
    </row>
    <row r="83" spans="4:6" ht="15.75" customHeight="1">
      <c r="D83" s="37"/>
      <c r="E83" s="37"/>
      <c r="F83" s="37"/>
    </row>
    <row r="84" spans="4:6" ht="15.75" customHeight="1">
      <c r="D84" s="37"/>
      <c r="E84" s="37"/>
      <c r="F84" s="37"/>
    </row>
    <row r="85" spans="4:6" ht="15.75" customHeight="1">
      <c r="D85" s="37"/>
      <c r="E85" s="37"/>
      <c r="F85" s="37"/>
    </row>
    <row r="86" spans="4:6" ht="15.75" customHeight="1">
      <c r="D86" s="37"/>
      <c r="E86" s="37"/>
      <c r="F86" s="37"/>
    </row>
    <row r="87" spans="4:6" ht="15.75" customHeight="1">
      <c r="D87" s="37"/>
      <c r="E87" s="37"/>
      <c r="F87" s="37"/>
    </row>
    <row r="88" spans="4:6" ht="15.75" customHeight="1">
      <c r="D88" s="37"/>
      <c r="E88" s="37"/>
      <c r="F88" s="37"/>
    </row>
    <row r="89" spans="4:6" ht="15.75" customHeight="1">
      <c r="D89" s="37"/>
      <c r="E89" s="37"/>
      <c r="F89" s="37"/>
    </row>
    <row r="90" spans="4:6" ht="15.75" customHeight="1">
      <c r="D90" s="37"/>
      <c r="E90" s="37"/>
      <c r="F90" s="37"/>
    </row>
    <row r="91" spans="4:6" ht="15.75" customHeight="1">
      <c r="D91" s="37"/>
      <c r="E91" s="37"/>
      <c r="F91" s="37"/>
    </row>
    <row r="92" spans="4:6" ht="15.75" customHeight="1">
      <c r="D92" s="37"/>
      <c r="E92" s="37"/>
      <c r="F92" s="37"/>
    </row>
    <row r="93" spans="4:6" ht="15.75" customHeight="1">
      <c r="D93" s="37"/>
      <c r="E93" s="37"/>
      <c r="F93" s="37"/>
    </row>
    <row r="94" spans="4:6" ht="15.75" customHeight="1">
      <c r="D94" s="37"/>
      <c r="E94" s="37"/>
      <c r="F94" s="37"/>
    </row>
    <row r="95" spans="4:6" ht="15.75" customHeight="1">
      <c r="D95" s="37"/>
      <c r="E95" s="37"/>
      <c r="F95" s="37"/>
    </row>
    <row r="96" spans="4:6" ht="15.75" customHeight="1">
      <c r="D96" s="37"/>
      <c r="E96" s="37"/>
      <c r="F96" s="37"/>
    </row>
    <row r="97" spans="4:6" ht="15.75" customHeight="1">
      <c r="D97" s="37"/>
      <c r="E97" s="37"/>
      <c r="F97" s="37"/>
    </row>
    <row r="98" spans="4:6" ht="15.75" customHeight="1">
      <c r="D98" s="37"/>
      <c r="E98" s="37"/>
      <c r="F98" s="37"/>
    </row>
    <row r="99" spans="4:6" ht="15.75" customHeight="1">
      <c r="D99" s="37"/>
      <c r="E99" s="37"/>
      <c r="F99" s="37"/>
    </row>
    <row r="100" spans="4:6" ht="15.75" customHeight="1">
      <c r="D100" s="37"/>
      <c r="E100" s="37"/>
      <c r="F100" s="37"/>
    </row>
    <row r="101" spans="4:6" ht="15.75" customHeight="1">
      <c r="D101" s="37"/>
      <c r="E101" s="37"/>
      <c r="F101" s="37"/>
    </row>
    <row r="102" spans="4:6" ht="15.75" customHeight="1">
      <c r="D102" s="37"/>
      <c r="E102" s="37"/>
      <c r="F102" s="37"/>
    </row>
    <row r="103" spans="4:6" ht="15.75" customHeight="1">
      <c r="D103" s="37"/>
      <c r="E103" s="37"/>
      <c r="F103" s="37"/>
    </row>
    <row r="104" spans="4:6" ht="15.75" customHeight="1">
      <c r="D104" s="37"/>
      <c r="E104" s="37"/>
      <c r="F104" s="37"/>
    </row>
    <row r="105" spans="4:6" ht="15.75" customHeight="1">
      <c r="D105" s="37"/>
      <c r="E105" s="37"/>
      <c r="F105" s="37"/>
    </row>
    <row r="106" spans="4:6" ht="15.75" customHeight="1">
      <c r="D106" s="37"/>
      <c r="E106" s="37"/>
      <c r="F106" s="37"/>
    </row>
    <row r="107" spans="4:6" ht="15.75" customHeight="1">
      <c r="D107" s="37"/>
      <c r="E107" s="37"/>
      <c r="F107" s="37"/>
    </row>
    <row r="108" spans="4:6" ht="15.75" customHeight="1">
      <c r="D108" s="37"/>
      <c r="E108" s="37"/>
      <c r="F108" s="37"/>
    </row>
    <row r="109" spans="4:6" ht="15.75" customHeight="1">
      <c r="D109" s="37"/>
      <c r="E109" s="37"/>
      <c r="F109" s="37"/>
    </row>
    <row r="110" spans="4:6" ht="15.75" customHeight="1">
      <c r="D110" s="37"/>
      <c r="E110" s="37"/>
      <c r="F110" s="37"/>
    </row>
    <row r="111" spans="4:6" ht="15.75" customHeight="1">
      <c r="D111" s="37"/>
      <c r="E111" s="37"/>
      <c r="F111" s="37"/>
    </row>
    <row r="112" spans="4:6" ht="15.75" customHeight="1">
      <c r="D112" s="37"/>
      <c r="E112" s="37"/>
      <c r="F112" s="37"/>
    </row>
    <row r="113" spans="4:6" ht="15.75" customHeight="1">
      <c r="D113" s="37"/>
      <c r="E113" s="37"/>
      <c r="F113" s="37"/>
    </row>
    <row r="114" spans="4:6" ht="15.75" customHeight="1">
      <c r="D114" s="37"/>
      <c r="E114" s="37"/>
      <c r="F114" s="37"/>
    </row>
    <row r="115" spans="4:6" ht="15.75" customHeight="1">
      <c r="D115" s="37"/>
      <c r="E115" s="37"/>
      <c r="F115" s="37"/>
    </row>
    <row r="116" spans="4:6" ht="15.75" customHeight="1">
      <c r="D116" s="37"/>
      <c r="E116" s="37"/>
      <c r="F116" s="37"/>
    </row>
    <row r="117" spans="4:6" ht="15.75" customHeight="1">
      <c r="D117" s="37"/>
      <c r="E117" s="37"/>
      <c r="F117" s="37"/>
    </row>
    <row r="118" spans="4:6" ht="15.75" customHeight="1">
      <c r="D118" s="37"/>
      <c r="E118" s="37"/>
      <c r="F118" s="37"/>
    </row>
    <row r="119" spans="4:6" ht="15.75" customHeight="1">
      <c r="D119" s="37"/>
      <c r="E119" s="37"/>
      <c r="F119" s="37"/>
    </row>
    <row r="120" spans="4:6" ht="15.75" customHeight="1">
      <c r="D120" s="37"/>
      <c r="E120" s="37"/>
      <c r="F120" s="37"/>
    </row>
    <row r="121" spans="4:6" ht="15.75" customHeight="1">
      <c r="D121" s="37"/>
      <c r="E121" s="37"/>
      <c r="F121" s="37"/>
    </row>
    <row r="122" spans="4:6" ht="15.75" customHeight="1">
      <c r="D122" s="37"/>
      <c r="E122" s="37"/>
      <c r="F122" s="37"/>
    </row>
    <row r="123" spans="4:6" ht="15.75" customHeight="1">
      <c r="D123" s="37"/>
      <c r="E123" s="37"/>
      <c r="F123" s="37"/>
    </row>
    <row r="124" spans="4:6" ht="15.75" customHeight="1">
      <c r="D124" s="37"/>
      <c r="E124" s="37"/>
      <c r="F124" s="37"/>
    </row>
    <row r="125" spans="4:6" ht="15.75" customHeight="1">
      <c r="D125" s="37"/>
      <c r="E125" s="37"/>
      <c r="F125" s="37"/>
    </row>
    <row r="126" spans="4:6" ht="15.75" customHeight="1">
      <c r="D126" s="37"/>
      <c r="E126" s="37"/>
      <c r="F126" s="37"/>
    </row>
    <row r="127" spans="4:6" ht="15.75" customHeight="1">
      <c r="D127" s="37"/>
      <c r="E127" s="37"/>
      <c r="F127" s="37"/>
    </row>
    <row r="128" spans="4:6" ht="15.75" customHeight="1">
      <c r="D128" s="37"/>
      <c r="E128" s="37"/>
      <c r="F128" s="37"/>
    </row>
    <row r="129" spans="4:6" ht="15.75" customHeight="1">
      <c r="D129" s="37"/>
      <c r="E129" s="37"/>
      <c r="F129" s="37"/>
    </row>
    <row r="130" spans="4:6" ht="15.75" customHeight="1">
      <c r="D130" s="37"/>
      <c r="E130" s="37"/>
      <c r="F130" s="37"/>
    </row>
    <row r="131" spans="4:6" ht="15.75" customHeight="1">
      <c r="D131" s="37"/>
      <c r="E131" s="37"/>
      <c r="F131" s="37"/>
    </row>
    <row r="132" spans="4:6" ht="15.75" customHeight="1">
      <c r="D132" s="37"/>
      <c r="E132" s="37"/>
      <c r="F132" s="37"/>
    </row>
    <row r="133" spans="4:6" ht="15.75" customHeight="1">
      <c r="D133" s="37"/>
      <c r="E133" s="37"/>
      <c r="F133" s="37"/>
    </row>
    <row r="134" spans="4:6" ht="15.75" customHeight="1">
      <c r="D134" s="37"/>
      <c r="E134" s="37"/>
      <c r="F134" s="37"/>
    </row>
    <row r="135" spans="4:6" ht="15.75" customHeight="1">
      <c r="D135" s="37"/>
      <c r="E135" s="37"/>
      <c r="F135" s="37"/>
    </row>
    <row r="136" spans="4:6" ht="15.75" customHeight="1">
      <c r="D136" s="37"/>
      <c r="E136" s="37"/>
      <c r="F136" s="37"/>
    </row>
    <row r="137" spans="4:6" ht="15.75" customHeight="1">
      <c r="D137" s="37"/>
      <c r="E137" s="37"/>
      <c r="F137" s="37"/>
    </row>
    <row r="138" spans="4:6" ht="15.75" customHeight="1">
      <c r="D138" s="37"/>
      <c r="E138" s="37"/>
      <c r="F138" s="37"/>
    </row>
    <row r="139" spans="4:6" ht="15.75" customHeight="1">
      <c r="D139" s="37"/>
      <c r="E139" s="37"/>
      <c r="F139" s="37"/>
    </row>
    <row r="140" spans="4:6" ht="15.75" customHeight="1">
      <c r="D140" s="37"/>
      <c r="E140" s="37"/>
      <c r="F140" s="37"/>
    </row>
    <row r="141" spans="4:6" ht="15.75" customHeight="1">
      <c r="D141" s="37"/>
      <c r="E141" s="37"/>
      <c r="F141" s="37"/>
    </row>
    <row r="142" spans="4:6" ht="15.75" customHeight="1">
      <c r="D142" s="37"/>
      <c r="E142" s="37"/>
      <c r="F142" s="37"/>
    </row>
    <row r="143" spans="4:6" ht="15.75" customHeight="1">
      <c r="D143" s="37"/>
      <c r="E143" s="37"/>
      <c r="F143" s="37"/>
    </row>
    <row r="144" spans="4:6" ht="15.75" customHeight="1">
      <c r="D144" s="37"/>
      <c r="E144" s="37"/>
      <c r="F144" s="37"/>
    </row>
    <row r="145" spans="4:6" ht="15.75" customHeight="1">
      <c r="D145" s="37"/>
      <c r="E145" s="37"/>
      <c r="F145" s="37"/>
    </row>
    <row r="146" spans="4:6" ht="15.75" customHeight="1">
      <c r="D146" s="37"/>
      <c r="E146" s="37"/>
      <c r="F146" s="37"/>
    </row>
    <row r="147" spans="4:6" ht="15.75" customHeight="1">
      <c r="D147" s="37"/>
      <c r="E147" s="37"/>
      <c r="F147" s="37"/>
    </row>
    <row r="148" spans="4:6" ht="15.75" customHeight="1">
      <c r="D148" s="37"/>
      <c r="E148" s="37"/>
      <c r="F148" s="37"/>
    </row>
    <row r="149" spans="4:6" ht="15.75" customHeight="1">
      <c r="D149" s="37"/>
      <c r="E149" s="37"/>
      <c r="F149" s="37"/>
    </row>
    <row r="150" spans="4:6" ht="15.75" customHeight="1">
      <c r="D150" s="37"/>
      <c r="E150" s="37"/>
      <c r="F150" s="37"/>
    </row>
    <row r="151" spans="4:6" ht="15.75" customHeight="1">
      <c r="D151" s="37"/>
      <c r="E151" s="37"/>
      <c r="F151" s="37"/>
    </row>
    <row r="152" spans="4:6" ht="15.75" customHeight="1">
      <c r="D152" s="37"/>
      <c r="E152" s="37"/>
      <c r="F152" s="37"/>
    </row>
    <row r="153" spans="4:6" ht="15.75" customHeight="1">
      <c r="D153" s="37"/>
      <c r="E153" s="37"/>
      <c r="F153" s="37"/>
    </row>
    <row r="154" spans="4:6" ht="15.75" customHeight="1">
      <c r="D154" s="37"/>
      <c r="E154" s="37"/>
      <c r="F154" s="37"/>
    </row>
    <row r="155" spans="4:6" ht="15.75" customHeight="1">
      <c r="D155" s="37"/>
      <c r="E155" s="37"/>
      <c r="F155" s="37"/>
    </row>
    <row r="156" spans="4:6" ht="15.75" customHeight="1">
      <c r="D156" s="37"/>
      <c r="E156" s="37"/>
      <c r="F156" s="37"/>
    </row>
    <row r="157" spans="4:6" ht="15.75" customHeight="1">
      <c r="D157" s="37"/>
      <c r="E157" s="37"/>
      <c r="F157" s="37"/>
    </row>
    <row r="158" spans="4:6" ht="15.75" customHeight="1">
      <c r="D158" s="37"/>
      <c r="E158" s="37"/>
      <c r="F158" s="37"/>
    </row>
    <row r="159" spans="4:6" ht="15.75" customHeight="1">
      <c r="D159" s="37"/>
      <c r="E159" s="37"/>
      <c r="F159" s="37"/>
    </row>
    <row r="160" spans="4:6" ht="15.75" customHeight="1">
      <c r="D160" s="37"/>
      <c r="E160" s="37"/>
      <c r="F160" s="37"/>
    </row>
    <row r="161" spans="4:6" ht="15.75" customHeight="1">
      <c r="D161" s="37"/>
      <c r="E161" s="37"/>
      <c r="F161" s="37"/>
    </row>
    <row r="162" spans="4:6" ht="15.75" customHeight="1">
      <c r="D162" s="37"/>
      <c r="E162" s="37"/>
      <c r="F162" s="37"/>
    </row>
    <row r="163" spans="4:6" ht="15.75" customHeight="1">
      <c r="D163" s="37"/>
      <c r="E163" s="37"/>
      <c r="F163" s="37"/>
    </row>
    <row r="164" spans="4:6" ht="15.75" customHeight="1">
      <c r="D164" s="37"/>
      <c r="E164" s="37"/>
      <c r="F164" s="37"/>
    </row>
    <row r="165" spans="4:6" ht="15.75" customHeight="1">
      <c r="D165" s="37"/>
      <c r="E165" s="37"/>
      <c r="F165" s="37"/>
    </row>
    <row r="166" spans="4:6" ht="15.75" customHeight="1">
      <c r="D166" s="37"/>
      <c r="E166" s="37"/>
      <c r="F166" s="37"/>
    </row>
    <row r="167" spans="4:6" ht="15.75" customHeight="1">
      <c r="D167" s="37"/>
      <c r="E167" s="37"/>
      <c r="F167" s="37"/>
    </row>
    <row r="168" spans="4:6" ht="15.75" customHeight="1">
      <c r="D168" s="37"/>
      <c r="E168" s="37"/>
      <c r="F168" s="37"/>
    </row>
    <row r="169" spans="4:6" ht="15.75" customHeight="1">
      <c r="D169" s="37"/>
      <c r="E169" s="37"/>
      <c r="F169" s="37"/>
    </row>
    <row r="170" spans="4:6" ht="15.75" customHeight="1">
      <c r="D170" s="37"/>
      <c r="E170" s="37"/>
      <c r="F170" s="37"/>
    </row>
    <row r="171" spans="4:6" ht="15.75" customHeight="1">
      <c r="D171" s="37"/>
      <c r="E171" s="37"/>
      <c r="F171" s="37"/>
    </row>
    <row r="172" spans="4:6" ht="15.75" customHeight="1">
      <c r="D172" s="37"/>
      <c r="E172" s="37"/>
      <c r="F172" s="37"/>
    </row>
    <row r="173" spans="4:6" ht="15.75" customHeight="1">
      <c r="D173" s="37"/>
      <c r="E173" s="37"/>
      <c r="F173" s="37"/>
    </row>
    <row r="174" spans="4:6" ht="15.75" customHeight="1">
      <c r="D174" s="37"/>
      <c r="E174" s="37"/>
      <c r="F174" s="37"/>
    </row>
    <row r="175" spans="4:6" ht="15.75" customHeight="1">
      <c r="D175" s="37"/>
      <c r="E175" s="37"/>
      <c r="F175" s="37"/>
    </row>
    <row r="176" spans="4:6" ht="15.75" customHeight="1">
      <c r="D176" s="37"/>
      <c r="E176" s="37"/>
      <c r="F176" s="37"/>
    </row>
    <row r="177" spans="4:6" ht="15.75" customHeight="1">
      <c r="D177" s="37"/>
      <c r="E177" s="37"/>
      <c r="F177" s="37"/>
    </row>
    <row r="178" spans="4:6" ht="15.75" customHeight="1">
      <c r="D178" s="37"/>
      <c r="E178" s="37"/>
      <c r="F178" s="37"/>
    </row>
    <row r="179" spans="4:6" ht="15.75" customHeight="1">
      <c r="D179" s="37"/>
      <c r="E179" s="37"/>
      <c r="F179" s="37"/>
    </row>
    <row r="180" spans="4:6" ht="15.75" customHeight="1">
      <c r="D180" s="37"/>
      <c r="E180" s="37"/>
      <c r="F180" s="37"/>
    </row>
    <row r="181" spans="4:6" ht="15.75" customHeight="1">
      <c r="D181" s="37"/>
      <c r="E181" s="37"/>
      <c r="F181" s="37"/>
    </row>
    <row r="182" spans="4:6" ht="15.75" customHeight="1">
      <c r="D182" s="37"/>
      <c r="E182" s="37"/>
      <c r="F182" s="37"/>
    </row>
    <row r="183" spans="4:6" ht="15.75" customHeight="1">
      <c r="D183" s="37"/>
      <c r="E183" s="37"/>
      <c r="F183" s="37"/>
    </row>
    <row r="184" spans="4:6" ht="15.75" customHeight="1">
      <c r="D184" s="37"/>
      <c r="E184" s="37"/>
      <c r="F184" s="37"/>
    </row>
    <row r="185" spans="4:6" ht="15.75" customHeight="1">
      <c r="D185" s="37"/>
      <c r="E185" s="37"/>
      <c r="F185" s="37"/>
    </row>
    <row r="186" spans="4:6" ht="15.75" customHeight="1">
      <c r="D186" s="37"/>
      <c r="E186" s="37"/>
      <c r="F186" s="37"/>
    </row>
    <row r="187" spans="4:6" ht="15.75" customHeight="1">
      <c r="D187" s="37"/>
      <c r="E187" s="37"/>
      <c r="F187" s="37"/>
    </row>
    <row r="188" spans="4:6" ht="15.75" customHeight="1">
      <c r="D188" s="37"/>
      <c r="E188" s="37"/>
      <c r="F188" s="37"/>
    </row>
    <row r="189" spans="4:6" ht="15.75" customHeight="1">
      <c r="D189" s="37"/>
      <c r="E189" s="37"/>
      <c r="F189" s="37"/>
    </row>
    <row r="190" spans="4:6" ht="15.75" customHeight="1">
      <c r="D190" s="37"/>
      <c r="E190" s="37"/>
      <c r="F190" s="37"/>
    </row>
    <row r="191" spans="4:6" ht="15.75" customHeight="1">
      <c r="D191" s="37"/>
      <c r="E191" s="37"/>
      <c r="F191" s="37"/>
    </row>
    <row r="192" spans="4:6" ht="15.75" customHeight="1">
      <c r="D192" s="37"/>
      <c r="E192" s="37"/>
      <c r="F192" s="37"/>
    </row>
    <row r="193" spans="4:6" ht="15.75" customHeight="1">
      <c r="D193" s="37"/>
      <c r="E193" s="37"/>
      <c r="F193" s="37"/>
    </row>
    <row r="194" spans="4:6" ht="15.75" customHeight="1">
      <c r="D194" s="37"/>
      <c r="E194" s="37"/>
      <c r="F194" s="37"/>
    </row>
    <row r="195" spans="4:6" ht="15.75" customHeight="1">
      <c r="D195" s="37"/>
      <c r="E195" s="37"/>
      <c r="F195" s="37"/>
    </row>
    <row r="196" spans="4:6" ht="15.75" customHeight="1">
      <c r="D196" s="37"/>
      <c r="E196" s="37"/>
      <c r="F196" s="37"/>
    </row>
    <row r="197" spans="4:6" ht="15.75" customHeight="1">
      <c r="D197" s="37"/>
      <c r="E197" s="37"/>
      <c r="F197" s="37"/>
    </row>
    <row r="198" spans="4:6" ht="15.75" customHeight="1">
      <c r="D198" s="37"/>
      <c r="E198" s="37"/>
      <c r="F198" s="37"/>
    </row>
    <row r="199" spans="4:6" ht="15.75" customHeight="1">
      <c r="D199" s="37"/>
      <c r="E199" s="37"/>
      <c r="F199" s="37"/>
    </row>
    <row r="200" spans="4:6" ht="15.75" customHeight="1">
      <c r="D200" s="37"/>
      <c r="E200" s="37"/>
      <c r="F200" s="37"/>
    </row>
    <row r="201" spans="4:6" ht="15.75" customHeight="1">
      <c r="D201" s="37"/>
      <c r="E201" s="37"/>
      <c r="F201" s="37"/>
    </row>
    <row r="202" spans="4:6" ht="15.75" customHeight="1">
      <c r="D202" s="37"/>
      <c r="E202" s="37"/>
      <c r="F202" s="37"/>
    </row>
    <row r="203" spans="4:6" ht="15.75" customHeight="1">
      <c r="D203" s="37"/>
      <c r="E203" s="37"/>
      <c r="F203" s="37"/>
    </row>
    <row r="204" spans="4:6" ht="15.75" customHeight="1">
      <c r="D204" s="37"/>
      <c r="E204" s="37"/>
      <c r="F204" s="37"/>
    </row>
    <row r="205" spans="4:6" ht="15.75" customHeight="1">
      <c r="D205" s="37"/>
      <c r="E205" s="37"/>
      <c r="F205" s="37"/>
    </row>
    <row r="206" spans="4:6" ht="15.75" customHeight="1">
      <c r="D206" s="37"/>
      <c r="E206" s="37"/>
      <c r="F206" s="37"/>
    </row>
    <row r="207" spans="4:6" ht="15.75" customHeight="1">
      <c r="D207" s="37"/>
      <c r="E207" s="37"/>
      <c r="F207" s="37"/>
    </row>
    <row r="208" spans="4:6" ht="15.75" customHeight="1">
      <c r="D208" s="37"/>
      <c r="E208" s="37"/>
      <c r="F208" s="37"/>
    </row>
    <row r="209" spans="4:6" ht="15.75" customHeight="1">
      <c r="D209" s="37"/>
      <c r="E209" s="37"/>
      <c r="F209" s="37"/>
    </row>
    <row r="210" spans="4:6" ht="15.75" customHeight="1">
      <c r="D210" s="37"/>
      <c r="E210" s="37"/>
      <c r="F210" s="37"/>
    </row>
    <row r="211" spans="4:6" ht="15.75" customHeight="1">
      <c r="D211" s="37"/>
      <c r="E211" s="37"/>
      <c r="F211" s="37"/>
    </row>
    <row r="212" spans="4:6" ht="15.75" customHeight="1">
      <c r="D212" s="37"/>
      <c r="E212" s="37"/>
      <c r="F212" s="37"/>
    </row>
    <row r="213" spans="4:6" ht="15.75" customHeight="1">
      <c r="D213" s="37"/>
      <c r="E213" s="37"/>
      <c r="F213" s="37"/>
    </row>
    <row r="214" spans="4:6" ht="15.75" customHeight="1">
      <c r="D214" s="37"/>
      <c r="E214" s="37"/>
      <c r="F214" s="37"/>
    </row>
    <row r="215" spans="4:6" ht="15.75" customHeight="1">
      <c r="D215" s="37"/>
      <c r="E215" s="37"/>
      <c r="F215" s="37"/>
    </row>
    <row r="216" spans="4:6" ht="15.75" customHeight="1">
      <c r="D216" s="37"/>
      <c r="E216" s="37"/>
      <c r="F216" s="37"/>
    </row>
    <row r="217" spans="4:6" ht="15.75" customHeight="1">
      <c r="D217" s="37"/>
      <c r="E217" s="37"/>
      <c r="F217" s="37"/>
    </row>
    <row r="218" spans="4:6" ht="15.75" customHeight="1">
      <c r="D218" s="37"/>
      <c r="E218" s="37"/>
      <c r="F218" s="37"/>
    </row>
    <row r="219" spans="4:6" ht="15.75" customHeight="1">
      <c r="D219" s="37"/>
      <c r="E219" s="37"/>
      <c r="F219" s="37"/>
    </row>
    <row r="220" spans="4:6" ht="15.75" customHeight="1">
      <c r="D220" s="37"/>
      <c r="E220" s="37"/>
      <c r="F220" s="37"/>
    </row>
    <row r="221" spans="4:6" ht="15.75" customHeight="1">
      <c r="D221" s="37"/>
      <c r="E221" s="37"/>
      <c r="F221" s="37"/>
    </row>
    <row r="222" spans="4:6" ht="15.75" customHeight="1">
      <c r="D222" s="37"/>
      <c r="E222" s="37"/>
      <c r="F222" s="37"/>
    </row>
    <row r="223" spans="4:6" ht="15.75" customHeight="1">
      <c r="D223" s="37"/>
      <c r="E223" s="37"/>
      <c r="F223" s="37"/>
    </row>
    <row r="224" spans="4:6" ht="15.75" customHeight="1">
      <c r="D224" s="37"/>
      <c r="E224" s="37"/>
      <c r="F224" s="37"/>
    </row>
    <row r="225" spans="4:6" ht="15.75" customHeight="1">
      <c r="D225" s="37"/>
      <c r="E225" s="37"/>
      <c r="F225" s="37"/>
    </row>
    <row r="226" spans="4:6" ht="15.75" customHeight="1">
      <c r="D226" s="37"/>
      <c r="E226" s="37"/>
      <c r="F226" s="37"/>
    </row>
    <row r="227" spans="4:6" ht="15.75" customHeight="1">
      <c r="D227" s="37"/>
      <c r="E227" s="37"/>
      <c r="F227" s="37"/>
    </row>
    <row r="228" spans="4:6" ht="15.75" customHeight="1">
      <c r="D228" s="37"/>
      <c r="E228" s="37"/>
      <c r="F228" s="37"/>
    </row>
    <row r="229" spans="4:6" ht="15.75" customHeight="1">
      <c r="D229" s="37"/>
      <c r="E229" s="37"/>
      <c r="F229" s="37"/>
    </row>
    <row r="230" spans="4:6" ht="15.75" customHeight="1">
      <c r="D230" s="37"/>
      <c r="E230" s="37"/>
      <c r="F230" s="37"/>
    </row>
    <row r="231" spans="4:6" ht="15.75" customHeight="1">
      <c r="D231" s="37"/>
      <c r="E231" s="37"/>
      <c r="F231" s="37"/>
    </row>
    <row r="232" spans="4:6" ht="15.75" customHeight="1">
      <c r="D232" s="37"/>
      <c r="E232" s="37"/>
      <c r="F232" s="37"/>
    </row>
    <row r="233" spans="4:6" ht="15.75" customHeight="1">
      <c r="D233" s="37"/>
      <c r="E233" s="37"/>
      <c r="F233" s="37"/>
    </row>
    <row r="234" spans="4:6" ht="15.75" customHeight="1">
      <c r="D234" s="37"/>
      <c r="E234" s="37"/>
      <c r="F234" s="37"/>
    </row>
    <row r="235" spans="4:6" ht="15.75" customHeight="1">
      <c r="D235" s="37"/>
      <c r="E235" s="37"/>
      <c r="F235" s="37"/>
    </row>
    <row r="236" spans="4:6" ht="15.75" customHeight="1">
      <c r="D236" s="37"/>
      <c r="E236" s="37"/>
      <c r="F236" s="37"/>
    </row>
    <row r="237" spans="4:6" ht="15.75" customHeight="1">
      <c r="D237" s="37"/>
      <c r="E237" s="37"/>
      <c r="F237" s="37"/>
    </row>
    <row r="238" spans="4:6" ht="15.75" customHeight="1">
      <c r="D238" s="37"/>
      <c r="E238" s="37"/>
      <c r="F238" s="37"/>
    </row>
    <row r="239" spans="4:6" ht="15.75" customHeight="1">
      <c r="D239" s="37"/>
      <c r="E239" s="37"/>
      <c r="F239" s="37"/>
    </row>
    <row r="240" spans="4:6" ht="15.75" customHeight="1">
      <c r="D240" s="37"/>
      <c r="E240" s="37"/>
      <c r="F240" s="37"/>
    </row>
    <row r="241" spans="4:6" ht="15.75" customHeight="1">
      <c r="D241" s="37"/>
      <c r="E241" s="37"/>
      <c r="F241" s="37"/>
    </row>
    <row r="242" spans="4:6" ht="15.75" customHeight="1">
      <c r="D242" s="37"/>
      <c r="E242" s="37"/>
      <c r="F242" s="37"/>
    </row>
    <row r="243" spans="4:6" ht="15.75" customHeight="1">
      <c r="D243" s="37"/>
      <c r="E243" s="37"/>
      <c r="F243" s="37"/>
    </row>
    <row r="244" spans="4:6" ht="15.75" customHeight="1">
      <c r="D244" s="37"/>
      <c r="E244" s="37"/>
      <c r="F244" s="37"/>
    </row>
    <row r="245" spans="4:6" ht="15.75" customHeight="1"/>
    <row r="246" spans="4:6" ht="15.75" customHeight="1"/>
    <row r="247" spans="4:6" ht="15.75" customHeight="1"/>
    <row r="248" spans="4:6" ht="15.75" customHeight="1"/>
    <row r="249" spans="4:6" ht="15.75" customHeight="1"/>
    <row r="250" spans="4:6" ht="15.75" customHeight="1"/>
    <row r="251" spans="4:6" ht="15.75" customHeight="1"/>
    <row r="252" spans="4:6" ht="15.75" customHeight="1"/>
    <row r="253" spans="4:6" ht="15.75" customHeight="1"/>
    <row r="254" spans="4:6" ht="15.75" customHeight="1"/>
    <row r="255" spans="4:6" ht="15.75" customHeight="1"/>
    <row r="256" spans="4: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6:H46"/>
    <mergeCell ref="A1:A3"/>
    <mergeCell ref="B1:G3"/>
    <mergeCell ref="B4:H4"/>
    <mergeCell ref="A5:H5"/>
    <mergeCell ref="A6:G6"/>
    <mergeCell ref="A40:C41"/>
    <mergeCell ref="H40:H42"/>
    <mergeCell ref="A42:C42"/>
    <mergeCell ref="D42:G42"/>
    <mergeCell ref="A43:H43"/>
    <mergeCell ref="A44:H44"/>
    <mergeCell ref="A45:H45"/>
  </mergeCells>
  <pageMargins left="0.7" right="0.7" top="0.75" bottom="0.75" header="0" footer="0"/>
  <pageSetup scale="80"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4CCCC"/>
  </sheetPr>
  <dimension ref="A1:AA1000"/>
  <sheetViews>
    <sheetView workbookViewId="0">
      <selection sqref="A1:B3"/>
    </sheetView>
  </sheetViews>
  <sheetFormatPr baseColWidth="10" defaultColWidth="14.42578125" defaultRowHeight="15" customHeight="1"/>
  <cols>
    <col min="1" max="1" width="21.7109375" customWidth="1"/>
    <col min="2" max="2" width="13.5703125" customWidth="1"/>
    <col min="3" max="3" width="8.42578125" customWidth="1"/>
    <col min="4" max="4" width="16.28515625" customWidth="1"/>
    <col min="5" max="5" width="16.85546875" customWidth="1"/>
    <col min="6" max="7" width="17.5703125" customWidth="1"/>
    <col min="8" max="8" width="17.7109375" customWidth="1"/>
    <col min="9" max="9" width="28.7109375" customWidth="1"/>
    <col min="10" max="10" width="21.42578125" customWidth="1"/>
    <col min="11" max="11" width="19.28515625" customWidth="1"/>
    <col min="12" max="27" width="8" customWidth="1"/>
  </cols>
  <sheetData>
    <row r="1" spans="1:27" ht="21" customHeight="1">
      <c r="A1" s="127"/>
      <c r="B1" s="128"/>
      <c r="C1" s="129" t="s">
        <v>0</v>
      </c>
      <c r="D1" s="130"/>
      <c r="E1" s="130"/>
      <c r="F1" s="130"/>
      <c r="G1" s="130"/>
      <c r="H1" s="130"/>
      <c r="I1" s="131"/>
      <c r="J1" s="137" t="s">
        <v>1</v>
      </c>
      <c r="K1" s="138"/>
    </row>
    <row r="2" spans="1:27" ht="21" customHeight="1">
      <c r="A2" s="128"/>
      <c r="B2" s="128"/>
      <c r="C2" s="132"/>
      <c r="D2" s="128"/>
      <c r="E2" s="128"/>
      <c r="F2" s="128"/>
      <c r="G2" s="128"/>
      <c r="H2" s="128"/>
      <c r="I2" s="133"/>
      <c r="J2" s="137" t="s">
        <v>2</v>
      </c>
      <c r="K2" s="138"/>
    </row>
    <row r="3" spans="1:27" ht="21" customHeight="1">
      <c r="A3" s="128"/>
      <c r="B3" s="128"/>
      <c r="C3" s="134"/>
      <c r="D3" s="135"/>
      <c r="E3" s="135"/>
      <c r="F3" s="135"/>
      <c r="G3" s="135"/>
      <c r="H3" s="135"/>
      <c r="I3" s="136"/>
      <c r="J3" s="137" t="s">
        <v>3</v>
      </c>
      <c r="K3" s="138"/>
    </row>
    <row r="4" spans="1:27" ht="26.25" customHeight="1">
      <c r="A4" s="1" t="s">
        <v>4</v>
      </c>
      <c r="B4" s="139" t="s">
        <v>5</v>
      </c>
      <c r="C4" s="140"/>
      <c r="D4" s="140"/>
      <c r="E4" s="140"/>
      <c r="F4" s="140"/>
      <c r="G4" s="140"/>
      <c r="H4" s="140"/>
      <c r="I4" s="140"/>
      <c r="J4" s="140"/>
      <c r="K4" s="138"/>
      <c r="L4" s="90"/>
      <c r="M4" s="90"/>
      <c r="N4" s="90"/>
      <c r="O4" s="90"/>
      <c r="P4" s="90"/>
      <c r="Q4" s="90"/>
      <c r="R4" s="90"/>
      <c r="S4" s="90"/>
      <c r="T4" s="90"/>
      <c r="U4" s="90"/>
      <c r="V4" s="90"/>
      <c r="W4" s="90"/>
      <c r="X4" s="90"/>
      <c r="Y4" s="90"/>
      <c r="Z4" s="90"/>
      <c r="AA4" s="90"/>
    </row>
    <row r="5" spans="1:27" ht="26.25" customHeight="1">
      <c r="A5" s="141" t="s">
        <v>6</v>
      </c>
      <c r="B5" s="140"/>
      <c r="C5" s="140"/>
      <c r="D5" s="140"/>
      <c r="E5" s="140"/>
      <c r="F5" s="140"/>
      <c r="G5" s="140"/>
      <c r="H5" s="140"/>
      <c r="I5" s="140"/>
      <c r="J5" s="140"/>
      <c r="K5" s="138"/>
      <c r="L5" s="90"/>
      <c r="M5" s="90"/>
      <c r="N5" s="90"/>
      <c r="O5" s="90"/>
      <c r="P5" s="90"/>
      <c r="Q5" s="90"/>
      <c r="R5" s="90"/>
      <c r="S5" s="90"/>
      <c r="T5" s="90"/>
      <c r="U5" s="90"/>
      <c r="V5" s="90"/>
      <c r="W5" s="90"/>
      <c r="X5" s="90"/>
      <c r="Y5" s="90"/>
      <c r="Z5" s="90"/>
      <c r="AA5" s="90"/>
    </row>
    <row r="6" spans="1:27" ht="26.25" customHeight="1">
      <c r="A6" s="141" t="s">
        <v>7</v>
      </c>
      <c r="B6" s="140"/>
      <c r="C6" s="140"/>
      <c r="D6" s="140"/>
      <c r="E6" s="140"/>
      <c r="F6" s="140"/>
      <c r="G6" s="140"/>
      <c r="H6" s="138"/>
      <c r="I6" s="2" t="s">
        <v>8</v>
      </c>
      <c r="J6" s="2" t="s">
        <v>9</v>
      </c>
      <c r="K6" s="3" t="s">
        <v>10</v>
      </c>
      <c r="L6" s="90"/>
      <c r="M6" s="90"/>
      <c r="N6" s="90"/>
      <c r="O6" s="90"/>
      <c r="P6" s="90"/>
      <c r="Q6" s="90"/>
      <c r="R6" s="90"/>
      <c r="S6" s="90"/>
      <c r="T6" s="90"/>
      <c r="U6" s="90"/>
      <c r="V6" s="90"/>
      <c r="W6" s="90"/>
      <c r="X6" s="90"/>
      <c r="Y6" s="90"/>
      <c r="Z6" s="90"/>
      <c r="AA6" s="90"/>
    </row>
    <row r="7" spans="1:27" ht="37.5" customHeight="1">
      <c r="A7" s="91" t="s">
        <v>11</v>
      </c>
      <c r="B7" s="91" t="s">
        <v>12</v>
      </c>
      <c r="C7" s="91" t="s">
        <v>13</v>
      </c>
      <c r="D7" s="91" t="s">
        <v>14</v>
      </c>
      <c r="E7" s="91" t="s">
        <v>15</v>
      </c>
      <c r="F7" s="91" t="s">
        <v>16</v>
      </c>
      <c r="G7" s="91" t="s">
        <v>17</v>
      </c>
      <c r="H7" s="91" t="s">
        <v>18</v>
      </c>
      <c r="I7" s="91" t="s">
        <v>19</v>
      </c>
      <c r="J7" s="92" t="s">
        <v>20</v>
      </c>
      <c r="K7" s="93" t="s">
        <v>21</v>
      </c>
    </row>
    <row r="8" spans="1:27">
      <c r="A8" s="120"/>
      <c r="B8" s="68"/>
      <c r="C8" s="14"/>
      <c r="D8" s="14"/>
      <c r="E8" s="14"/>
      <c r="F8" s="14"/>
      <c r="G8" s="14"/>
      <c r="H8" s="14"/>
      <c r="I8" s="121"/>
      <c r="J8" s="9"/>
      <c r="K8" s="122"/>
    </row>
    <row r="9" spans="1:27">
      <c r="A9" s="120"/>
      <c r="B9" s="68"/>
      <c r="C9" s="14"/>
      <c r="D9" s="14"/>
      <c r="E9" s="14"/>
      <c r="F9" s="14"/>
      <c r="G9" s="14"/>
      <c r="H9" s="14"/>
      <c r="I9" s="10"/>
      <c r="J9" s="9"/>
      <c r="K9" s="122"/>
    </row>
    <row r="10" spans="1:27">
      <c r="A10" s="120"/>
      <c r="B10" s="68"/>
      <c r="C10" s="14"/>
      <c r="D10" s="14"/>
      <c r="E10" s="14"/>
      <c r="F10" s="14"/>
      <c r="G10" s="14"/>
      <c r="H10" s="14"/>
      <c r="I10" s="9"/>
      <c r="J10" s="9"/>
      <c r="K10" s="122"/>
    </row>
    <row r="11" spans="1:27">
      <c r="A11" s="120"/>
      <c r="B11" s="68"/>
      <c r="C11" s="14"/>
      <c r="D11" s="14"/>
      <c r="E11" s="14"/>
      <c r="F11" s="14"/>
      <c r="G11" s="14"/>
      <c r="H11" s="14"/>
      <c r="I11" s="9"/>
      <c r="J11" s="9"/>
      <c r="K11" s="122"/>
    </row>
    <row r="12" spans="1:27">
      <c r="A12" s="120"/>
      <c r="B12" s="85"/>
      <c r="C12" s="14"/>
      <c r="D12" s="14"/>
      <c r="E12" s="14"/>
      <c r="F12" s="14"/>
      <c r="G12" s="14"/>
      <c r="H12" s="14"/>
      <c r="I12" s="9"/>
      <c r="J12" s="9"/>
      <c r="K12" s="107"/>
      <c r="L12" s="95"/>
      <c r="M12" s="96"/>
      <c r="N12" s="123"/>
    </row>
    <row r="13" spans="1:27">
      <c r="A13" s="120"/>
      <c r="B13" s="85"/>
      <c r="C13" s="14"/>
      <c r="D13" s="14"/>
      <c r="E13" s="14"/>
      <c r="F13" s="14"/>
      <c r="G13" s="14"/>
      <c r="H13" s="14"/>
      <c r="I13" s="9"/>
      <c r="J13" s="9"/>
      <c r="K13" s="122"/>
      <c r="L13" s="95"/>
      <c r="M13" s="64"/>
      <c r="N13" s="123"/>
    </row>
    <row r="14" spans="1:27">
      <c r="A14" s="120"/>
      <c r="B14" s="85"/>
      <c r="C14" s="14"/>
      <c r="D14" s="14"/>
      <c r="E14" s="14"/>
      <c r="F14" s="14"/>
      <c r="G14" s="14"/>
      <c r="H14" s="14"/>
      <c r="I14" s="9"/>
      <c r="J14" s="9"/>
      <c r="K14" s="107"/>
      <c r="L14" s="95"/>
      <c r="M14" s="123"/>
      <c r="N14" s="123"/>
    </row>
    <row r="15" spans="1:27">
      <c r="A15" s="120"/>
      <c r="B15" s="84"/>
      <c r="C15" s="14"/>
      <c r="D15" s="14"/>
      <c r="E15" s="14"/>
      <c r="F15" s="14"/>
      <c r="G15" s="14"/>
      <c r="H15" s="14"/>
      <c r="I15" s="99"/>
      <c r="J15" s="99"/>
      <c r="L15" s="95"/>
      <c r="M15" s="123"/>
      <c r="N15" s="123"/>
    </row>
    <row r="16" spans="1:27">
      <c r="A16" s="120"/>
      <c r="B16" s="84"/>
      <c r="C16" s="14"/>
      <c r="D16" s="14"/>
      <c r="E16" s="14"/>
      <c r="F16" s="14"/>
      <c r="G16" s="14"/>
      <c r="H16" s="14"/>
      <c r="I16" s="99"/>
      <c r="J16" s="99"/>
      <c r="L16" s="95"/>
      <c r="M16" s="123"/>
      <c r="N16" s="123"/>
    </row>
    <row r="17" spans="1:14">
      <c r="A17" s="120"/>
      <c r="B17" s="84"/>
      <c r="C17" s="14"/>
      <c r="D17" s="14"/>
      <c r="E17" s="14"/>
      <c r="F17" s="14"/>
      <c r="G17" s="14"/>
      <c r="H17" s="14"/>
      <c r="I17" s="99"/>
      <c r="J17" s="99"/>
      <c r="L17" s="95"/>
      <c r="M17" s="123"/>
      <c r="N17" s="123"/>
    </row>
    <row r="18" spans="1:14" ht="15.75" customHeight="1">
      <c r="A18" s="120"/>
      <c r="B18" s="84"/>
      <c r="C18" s="14"/>
      <c r="D18" s="14"/>
      <c r="E18" s="14"/>
      <c r="F18" s="14"/>
      <c r="G18" s="14"/>
      <c r="H18" s="14"/>
      <c r="I18" s="99"/>
      <c r="J18" s="10"/>
      <c r="L18" s="95"/>
      <c r="M18" s="123"/>
      <c r="N18" s="123"/>
    </row>
    <row r="19" spans="1:14" ht="15.75" customHeight="1">
      <c r="A19" s="124"/>
      <c r="B19" s="84"/>
      <c r="C19" s="14"/>
      <c r="D19" s="14"/>
      <c r="E19" s="14"/>
      <c r="F19" s="14"/>
      <c r="G19" s="14"/>
      <c r="H19" s="14"/>
      <c r="I19" s="99"/>
      <c r="J19" s="9"/>
      <c r="L19" s="95"/>
      <c r="M19" s="123"/>
      <c r="N19" s="123"/>
    </row>
    <row r="20" spans="1:14" ht="15.75" customHeight="1">
      <c r="A20" s="124"/>
      <c r="B20" s="84"/>
      <c r="C20" s="14"/>
      <c r="D20" s="14"/>
      <c r="E20" s="14"/>
      <c r="F20" s="14"/>
      <c r="G20" s="14"/>
      <c r="H20" s="14"/>
      <c r="I20" s="99"/>
      <c r="J20" s="10"/>
      <c r="L20" s="95"/>
      <c r="M20" s="123"/>
      <c r="N20" s="123"/>
    </row>
    <row r="21" spans="1:14" ht="15.75" customHeight="1">
      <c r="A21" s="124"/>
      <c r="B21" s="84"/>
      <c r="C21" s="14"/>
      <c r="D21" s="14"/>
      <c r="E21" s="14"/>
      <c r="F21" s="14"/>
      <c r="G21" s="14"/>
      <c r="H21" s="14"/>
      <c r="I21" s="99"/>
      <c r="J21" s="9"/>
      <c r="L21" s="95"/>
      <c r="M21" s="123"/>
      <c r="N21" s="123"/>
    </row>
    <row r="22" spans="1:14" ht="15.75" customHeight="1">
      <c r="A22" s="124"/>
      <c r="B22" s="84"/>
      <c r="C22" s="14"/>
      <c r="D22" s="14"/>
      <c r="E22" s="14"/>
      <c r="F22" s="14"/>
      <c r="G22" s="14"/>
      <c r="H22" s="14"/>
      <c r="I22" s="99"/>
      <c r="J22" s="99"/>
      <c r="L22" s="95"/>
      <c r="M22" s="123"/>
      <c r="N22" s="123"/>
    </row>
    <row r="23" spans="1:14" ht="15.75" customHeight="1">
      <c r="A23" s="124"/>
      <c r="B23" s="84"/>
      <c r="C23" s="14"/>
      <c r="D23" s="14"/>
      <c r="E23" s="14"/>
      <c r="F23" s="14"/>
      <c r="G23" s="14"/>
      <c r="H23" s="14"/>
      <c r="I23" s="99"/>
      <c r="J23" s="10"/>
      <c r="L23" s="95"/>
      <c r="M23" s="123"/>
      <c r="N23" s="123"/>
    </row>
    <row r="24" spans="1:14" ht="15.75" customHeight="1">
      <c r="A24" s="124"/>
      <c r="B24" s="84"/>
      <c r="C24" s="14"/>
      <c r="D24" s="14"/>
      <c r="E24" s="14"/>
      <c r="F24" s="14"/>
      <c r="G24" s="14"/>
      <c r="H24" s="14"/>
      <c r="I24" s="100"/>
      <c r="J24" s="10"/>
      <c r="L24" s="95"/>
      <c r="M24" s="123"/>
      <c r="N24" s="123"/>
    </row>
    <row r="25" spans="1:14" ht="15.75" customHeight="1">
      <c r="A25" s="124"/>
      <c r="B25" s="84"/>
      <c r="C25" s="14"/>
      <c r="D25" s="14"/>
      <c r="E25" s="14"/>
      <c r="F25" s="14"/>
      <c r="G25" s="14"/>
      <c r="H25" s="14"/>
      <c r="I25" s="99"/>
      <c r="J25" s="10"/>
      <c r="L25" s="95"/>
      <c r="M25" s="123"/>
      <c r="N25" s="123"/>
    </row>
    <row r="26" spans="1:14" ht="15.75" customHeight="1">
      <c r="A26" s="124"/>
      <c r="B26" s="84"/>
      <c r="C26" s="14"/>
      <c r="D26" s="14"/>
      <c r="E26" s="14"/>
      <c r="F26" s="14"/>
      <c r="G26" s="14"/>
      <c r="H26" s="14"/>
      <c r="I26" s="99"/>
      <c r="J26" s="10"/>
      <c r="L26" s="95"/>
      <c r="M26" s="123"/>
      <c r="N26" s="123"/>
    </row>
    <row r="27" spans="1:14" ht="15.75" customHeight="1">
      <c r="A27" s="124"/>
      <c r="B27" s="84"/>
      <c r="C27" s="14"/>
      <c r="D27" s="14"/>
      <c r="E27" s="14"/>
      <c r="F27" s="14"/>
      <c r="G27" s="14"/>
      <c r="H27" s="14"/>
      <c r="I27" s="99"/>
      <c r="J27" s="10"/>
      <c r="L27" s="95"/>
      <c r="M27" s="123"/>
      <c r="N27" s="123"/>
    </row>
    <row r="28" spans="1:14" ht="15.75" customHeight="1">
      <c r="A28" s="124"/>
      <c r="B28" s="84"/>
      <c r="C28" s="14"/>
      <c r="D28" s="14"/>
      <c r="E28" s="14"/>
      <c r="F28" s="14"/>
      <c r="G28" s="14"/>
      <c r="H28" s="14"/>
      <c r="I28" s="99"/>
      <c r="J28" s="10"/>
      <c r="L28" s="95"/>
      <c r="M28" s="123"/>
      <c r="N28" s="123"/>
    </row>
    <row r="29" spans="1:14" ht="15.75" customHeight="1">
      <c r="A29" s="124"/>
      <c r="B29" s="85"/>
      <c r="C29" s="14"/>
      <c r="D29" s="68"/>
      <c r="E29" s="68"/>
      <c r="F29" s="68"/>
      <c r="G29" s="68"/>
      <c r="H29" s="68"/>
      <c r="I29" s="99"/>
      <c r="J29" s="10"/>
      <c r="L29" s="95"/>
      <c r="M29" s="123"/>
      <c r="N29" s="123"/>
    </row>
    <row r="30" spans="1:14" ht="15.75" customHeight="1">
      <c r="A30" s="124"/>
      <c r="B30" s="85"/>
      <c r="C30" s="14"/>
      <c r="D30" s="68"/>
      <c r="E30" s="68"/>
      <c r="F30" s="68"/>
      <c r="G30" s="68"/>
      <c r="H30" s="68"/>
      <c r="I30" s="99"/>
      <c r="J30" s="10"/>
      <c r="L30" s="95"/>
      <c r="M30" s="123"/>
      <c r="N30" s="123"/>
    </row>
    <row r="31" spans="1:14" ht="15.75" customHeight="1">
      <c r="A31" s="124"/>
      <c r="B31" s="85"/>
      <c r="C31" s="14"/>
      <c r="D31" s="68"/>
      <c r="E31" s="68"/>
      <c r="F31" s="68"/>
      <c r="G31" s="68"/>
      <c r="H31" s="68"/>
      <c r="I31" s="99"/>
      <c r="J31" s="10"/>
      <c r="L31" s="95"/>
      <c r="M31" s="123"/>
      <c r="N31" s="123"/>
    </row>
    <row r="32" spans="1:14" ht="15.75" customHeight="1">
      <c r="A32" s="124"/>
      <c r="B32" s="85"/>
      <c r="C32" s="14"/>
      <c r="D32" s="68"/>
      <c r="E32" s="68"/>
      <c r="F32" s="68"/>
      <c r="G32" s="68"/>
      <c r="H32" s="68"/>
      <c r="I32" s="99"/>
      <c r="J32" s="10"/>
      <c r="L32" s="95"/>
      <c r="M32" s="123"/>
      <c r="N32" s="123"/>
    </row>
    <row r="33" spans="1:27" ht="15.75" customHeight="1">
      <c r="A33" s="8"/>
      <c r="B33" s="9"/>
      <c r="C33" s="9"/>
      <c r="D33" s="9"/>
      <c r="E33" s="9"/>
      <c r="F33" s="9"/>
      <c r="G33" s="9"/>
      <c r="H33" s="9"/>
      <c r="I33" s="10"/>
      <c r="J33" s="10"/>
      <c r="K33" s="37"/>
      <c r="L33" s="37"/>
      <c r="M33" s="37"/>
      <c r="N33" s="37"/>
      <c r="O33" s="37"/>
      <c r="P33" s="37"/>
      <c r="Q33" s="37"/>
      <c r="R33" s="37"/>
      <c r="S33" s="37"/>
      <c r="T33" s="37"/>
      <c r="U33" s="37"/>
      <c r="V33" s="37"/>
      <c r="W33" s="37"/>
      <c r="X33" s="37"/>
      <c r="Y33" s="37"/>
      <c r="Z33" s="37"/>
      <c r="AA33" s="37"/>
    </row>
    <row r="34" spans="1:27" ht="15.75" customHeight="1">
      <c r="A34" s="8"/>
      <c r="B34" s="9"/>
      <c r="C34" s="9"/>
      <c r="D34" s="9"/>
      <c r="E34" s="9"/>
      <c r="F34" s="9"/>
      <c r="G34" s="9"/>
      <c r="H34" s="9"/>
      <c r="I34" s="10"/>
      <c r="J34" s="10"/>
      <c r="K34" s="37"/>
      <c r="L34" s="37"/>
      <c r="M34" s="37"/>
      <c r="N34" s="37"/>
      <c r="O34" s="37"/>
      <c r="P34" s="37"/>
      <c r="Q34" s="37"/>
      <c r="R34" s="37"/>
      <c r="S34" s="37"/>
      <c r="T34" s="37"/>
      <c r="U34" s="37"/>
      <c r="V34" s="37"/>
      <c r="W34" s="37"/>
      <c r="X34" s="37"/>
      <c r="Y34" s="37"/>
      <c r="Z34" s="37"/>
      <c r="AA34" s="37"/>
    </row>
    <row r="35" spans="1:27" ht="15.75" customHeight="1">
      <c r="A35" s="102"/>
      <c r="B35" s="59"/>
      <c r="C35" s="103"/>
      <c r="D35" s="104"/>
      <c r="E35" s="104"/>
      <c r="F35" s="104"/>
      <c r="G35" s="104"/>
      <c r="H35" s="104"/>
      <c r="I35" s="88"/>
      <c r="J35" s="10"/>
    </row>
    <row r="36" spans="1:27" ht="15.75" customHeight="1">
      <c r="A36" s="150">
        <f>SUM(C8:C35)</f>
        <v>0</v>
      </c>
      <c r="B36" s="130"/>
      <c r="C36" s="131"/>
      <c r="D36" s="29">
        <f t="shared" ref="D36:G36" si="0">(COUNTIF(D8:D35,"SI")*1+COUNTIF(D8:D35,"NO")*0+COUNTIF(D8:D35,"NA")*0)</f>
        <v>0</v>
      </c>
      <c r="E36" s="29">
        <f t="shared" si="0"/>
        <v>0</v>
      </c>
      <c r="F36" s="29">
        <f t="shared" si="0"/>
        <v>0</v>
      </c>
      <c r="G36" s="29">
        <f t="shared" si="0"/>
        <v>0</v>
      </c>
      <c r="H36" s="105">
        <f>(COUNTIF(H8:H35,"SI")*1+COUNTIF(H8:H35,"NO")*0-COUNTIF(H8:H35,"NA")*0)</f>
        <v>0</v>
      </c>
      <c r="I36" s="175" t="s">
        <v>25</v>
      </c>
      <c r="J36" s="131"/>
    </row>
    <row r="37" spans="1:27" ht="15.75" customHeight="1">
      <c r="A37" s="132"/>
      <c r="B37" s="128"/>
      <c r="C37" s="133"/>
      <c r="D37" s="34" t="e">
        <f>(D36/A36)</f>
        <v>#DIV/0!</v>
      </c>
      <c r="E37" s="34" t="e">
        <f>(E36/A36)</f>
        <v>#DIV/0!</v>
      </c>
      <c r="F37" s="34" t="e">
        <f>(F36/A36)</f>
        <v>#DIV/0!</v>
      </c>
      <c r="G37" s="34" t="e">
        <f>(G36/A36)</f>
        <v>#DIV/0!</v>
      </c>
      <c r="H37" s="34" t="e">
        <f>(H36/A36)</f>
        <v>#DIV/0!</v>
      </c>
      <c r="I37" s="35"/>
      <c r="J37" s="36"/>
    </row>
    <row r="38" spans="1:27" ht="15.75" customHeight="1">
      <c r="A38" s="145" t="s">
        <v>26</v>
      </c>
      <c r="B38" s="140"/>
      <c r="C38" s="138"/>
      <c r="D38" s="146" t="e">
        <f>SUM(D37+E37+F37+G37+H37)/5</f>
        <v>#DIV/0!</v>
      </c>
      <c r="E38" s="140"/>
      <c r="F38" s="140"/>
      <c r="G38" s="140"/>
      <c r="H38" s="140"/>
      <c r="I38" s="140"/>
      <c r="J38" s="138"/>
    </row>
    <row r="39" spans="1:27" ht="15.75" customHeight="1">
      <c r="A39" s="147" t="s">
        <v>78</v>
      </c>
      <c r="B39" s="140"/>
      <c r="C39" s="140"/>
      <c r="D39" s="140"/>
      <c r="E39" s="140"/>
      <c r="F39" s="140"/>
      <c r="G39" s="140"/>
      <c r="H39" s="140"/>
      <c r="I39" s="140"/>
      <c r="J39" s="138"/>
    </row>
    <row r="40" spans="1:27" ht="15.75" customHeight="1">
      <c r="A40" s="142" t="s">
        <v>28</v>
      </c>
      <c r="B40" s="140"/>
      <c r="C40" s="140"/>
      <c r="D40" s="140"/>
      <c r="E40" s="140"/>
      <c r="F40" s="140"/>
      <c r="G40" s="140"/>
      <c r="H40" s="140"/>
      <c r="I40" s="140"/>
      <c r="J40" s="138"/>
    </row>
    <row r="41" spans="1:27" ht="15.75" customHeight="1">
      <c r="A41" s="147" t="s">
        <v>74</v>
      </c>
      <c r="B41" s="140"/>
      <c r="C41" s="140"/>
      <c r="D41" s="140"/>
      <c r="E41" s="140"/>
      <c r="F41" s="140"/>
      <c r="G41" s="140"/>
      <c r="H41" s="140"/>
      <c r="I41" s="140"/>
      <c r="J41" s="138"/>
    </row>
    <row r="42" spans="1:27" ht="15.75" customHeight="1">
      <c r="A42" s="142" t="s">
        <v>30</v>
      </c>
      <c r="B42" s="140"/>
      <c r="C42" s="140"/>
      <c r="D42" s="140"/>
      <c r="E42" s="140"/>
      <c r="F42" s="140"/>
      <c r="G42" s="140"/>
      <c r="H42" s="140"/>
      <c r="I42" s="140"/>
      <c r="J42" s="138"/>
    </row>
    <row r="43" spans="1:27" ht="15.75" customHeight="1">
      <c r="A43" s="142" t="s">
        <v>79</v>
      </c>
      <c r="B43" s="140"/>
      <c r="C43" s="140"/>
      <c r="D43" s="140"/>
      <c r="E43" s="140"/>
      <c r="F43" s="140"/>
      <c r="G43" s="140"/>
      <c r="H43" s="140"/>
      <c r="I43" s="140"/>
      <c r="J43" s="138"/>
    </row>
    <row r="44" spans="1:27" ht="15.75" customHeight="1">
      <c r="A44" s="81"/>
      <c r="B44" s="81"/>
      <c r="D44" s="37"/>
      <c r="E44" s="37"/>
      <c r="F44" s="37"/>
      <c r="G44" s="37"/>
      <c r="H44" s="37"/>
    </row>
    <row r="45" spans="1:27" ht="15.75" customHeight="1">
      <c r="A45" s="81"/>
      <c r="B45" s="81"/>
      <c r="D45" s="37"/>
      <c r="E45" s="37"/>
      <c r="F45" s="37"/>
      <c r="G45" s="37"/>
      <c r="H45" s="37"/>
    </row>
    <row r="46" spans="1:27" ht="15.75" customHeight="1">
      <c r="A46" s="81"/>
      <c r="B46" s="81"/>
      <c r="D46" s="37"/>
      <c r="E46" s="37"/>
      <c r="F46" s="37"/>
      <c r="G46" s="37"/>
      <c r="H46" s="37"/>
    </row>
    <row r="47" spans="1:27" ht="15.75" customHeight="1">
      <c r="A47" s="81"/>
      <c r="B47" s="81"/>
      <c r="D47" s="37"/>
      <c r="E47" s="37"/>
      <c r="F47" s="37"/>
      <c r="G47" s="37"/>
      <c r="H47" s="37"/>
    </row>
    <row r="48" spans="1:27" ht="15.75" customHeight="1">
      <c r="A48" s="81"/>
      <c r="B48" s="81"/>
      <c r="D48" s="37"/>
      <c r="E48" s="37"/>
      <c r="F48" s="37"/>
      <c r="G48" s="37"/>
      <c r="H48" s="37"/>
    </row>
    <row r="49" spans="1:8" ht="15.75" customHeight="1">
      <c r="A49" s="81"/>
      <c r="B49" s="81"/>
      <c r="D49" s="37"/>
      <c r="E49" s="37"/>
      <c r="F49" s="37"/>
      <c r="G49" s="37"/>
      <c r="H49" s="37"/>
    </row>
    <row r="50" spans="1:8" ht="15.75" customHeight="1">
      <c r="A50" s="81"/>
      <c r="B50" s="81"/>
      <c r="D50" s="37"/>
      <c r="E50" s="37"/>
      <c r="F50" s="37"/>
      <c r="G50" s="37"/>
      <c r="H50" s="37"/>
    </row>
    <row r="51" spans="1:8" ht="15.75" customHeight="1">
      <c r="A51" s="81"/>
      <c r="B51" s="81"/>
      <c r="D51" s="37"/>
      <c r="E51" s="37"/>
      <c r="F51" s="37"/>
      <c r="G51" s="37"/>
      <c r="H51" s="37"/>
    </row>
    <row r="52" spans="1:8" ht="15.75" customHeight="1">
      <c r="A52" s="81"/>
      <c r="B52" s="81"/>
      <c r="D52" s="37"/>
      <c r="E52" s="37"/>
      <c r="F52" s="37"/>
      <c r="G52" s="37"/>
      <c r="H52" s="37"/>
    </row>
    <row r="53" spans="1:8" ht="15.75" customHeight="1">
      <c r="A53" s="81"/>
      <c r="B53" s="81"/>
      <c r="D53" s="37"/>
      <c r="E53" s="37"/>
      <c r="F53" s="37"/>
      <c r="G53" s="37"/>
      <c r="H53" s="37"/>
    </row>
    <row r="54" spans="1:8" ht="15.75" customHeight="1">
      <c r="A54" s="81"/>
      <c r="B54" s="81"/>
      <c r="D54" s="37"/>
      <c r="E54" s="37"/>
      <c r="F54" s="37"/>
      <c r="G54" s="37"/>
      <c r="H54" s="37"/>
    </row>
    <row r="55" spans="1:8" ht="15.75" customHeight="1">
      <c r="A55" s="81"/>
      <c r="B55" s="81"/>
      <c r="D55" s="37"/>
      <c r="E55" s="37"/>
      <c r="F55" s="37"/>
      <c r="G55" s="37"/>
      <c r="H55" s="37"/>
    </row>
    <row r="56" spans="1:8" ht="15.75" customHeight="1">
      <c r="A56" s="81"/>
      <c r="B56" s="81"/>
      <c r="D56" s="37"/>
      <c r="E56" s="37"/>
      <c r="F56" s="37"/>
      <c r="G56" s="37"/>
      <c r="H56" s="37"/>
    </row>
    <row r="57" spans="1:8" ht="15.75" customHeight="1">
      <c r="A57" s="81"/>
      <c r="B57" s="81"/>
      <c r="D57" s="37"/>
      <c r="E57" s="37"/>
      <c r="F57" s="37"/>
      <c r="G57" s="37"/>
      <c r="H57" s="37"/>
    </row>
    <row r="58" spans="1:8" ht="15.75" customHeight="1">
      <c r="A58" s="81"/>
      <c r="B58" s="81"/>
      <c r="D58" s="37"/>
      <c r="E58" s="37"/>
      <c r="F58" s="37"/>
      <c r="G58" s="37"/>
      <c r="H58" s="37"/>
    </row>
    <row r="59" spans="1:8" ht="15.75" customHeight="1">
      <c r="A59" s="81"/>
      <c r="B59" s="81"/>
      <c r="D59" s="37"/>
      <c r="E59" s="37"/>
      <c r="F59" s="37"/>
      <c r="G59" s="37"/>
      <c r="H59" s="37"/>
    </row>
    <row r="60" spans="1:8" ht="15.75" customHeight="1">
      <c r="A60" s="81"/>
      <c r="B60" s="81"/>
      <c r="D60" s="37"/>
      <c r="E60" s="37"/>
      <c r="F60" s="37"/>
      <c r="G60" s="37"/>
      <c r="H60" s="37"/>
    </row>
    <row r="61" spans="1:8" ht="15.75" customHeight="1">
      <c r="A61" s="81"/>
      <c r="B61" s="81"/>
      <c r="D61" s="37"/>
      <c r="E61" s="37"/>
      <c r="F61" s="37"/>
      <c r="G61" s="37"/>
      <c r="H61" s="37"/>
    </row>
    <row r="62" spans="1:8" ht="15.75" customHeight="1">
      <c r="A62" s="81"/>
      <c r="B62" s="81"/>
      <c r="D62" s="37"/>
      <c r="E62" s="37"/>
      <c r="F62" s="37"/>
      <c r="G62" s="37"/>
      <c r="H62" s="37"/>
    </row>
    <row r="63" spans="1:8" ht="15.75" customHeight="1">
      <c r="A63" s="81"/>
      <c r="B63" s="81"/>
      <c r="D63" s="37"/>
      <c r="E63" s="37"/>
      <c r="F63" s="37"/>
      <c r="G63" s="37"/>
      <c r="H63" s="37"/>
    </row>
    <row r="64" spans="1:8" ht="15.75" customHeight="1">
      <c r="A64" s="81"/>
      <c r="B64" s="81"/>
      <c r="D64" s="37"/>
      <c r="E64" s="37"/>
      <c r="F64" s="37"/>
      <c r="G64" s="37"/>
      <c r="H64" s="37"/>
    </row>
    <row r="65" spans="1:8" ht="15.75" customHeight="1">
      <c r="A65" s="81"/>
      <c r="B65" s="81"/>
      <c r="D65" s="37"/>
      <c r="E65" s="37"/>
      <c r="F65" s="37"/>
      <c r="G65" s="37"/>
      <c r="H65" s="37"/>
    </row>
    <row r="66" spans="1:8" ht="15.75" customHeight="1">
      <c r="A66" s="81"/>
      <c r="B66" s="81"/>
      <c r="D66" s="37"/>
      <c r="E66" s="37"/>
      <c r="F66" s="37"/>
      <c r="G66" s="37"/>
      <c r="H66" s="37"/>
    </row>
    <row r="67" spans="1:8" ht="15.75" customHeight="1">
      <c r="A67" s="81"/>
      <c r="B67" s="81"/>
      <c r="D67" s="37"/>
      <c r="E67" s="37"/>
      <c r="F67" s="37"/>
      <c r="G67" s="37"/>
      <c r="H67" s="37"/>
    </row>
    <row r="68" spans="1:8" ht="15.75" customHeight="1">
      <c r="A68" s="81"/>
      <c r="B68" s="81"/>
      <c r="D68" s="37"/>
      <c r="E68" s="37"/>
      <c r="F68" s="37"/>
      <c r="G68" s="37"/>
      <c r="H68" s="37"/>
    </row>
    <row r="69" spans="1:8" ht="15.75" customHeight="1">
      <c r="A69" s="81"/>
      <c r="B69" s="81"/>
      <c r="D69" s="37"/>
      <c r="E69" s="37"/>
      <c r="F69" s="37"/>
      <c r="G69" s="37"/>
      <c r="H69" s="37"/>
    </row>
    <row r="70" spans="1:8" ht="15.75" customHeight="1">
      <c r="A70" s="81"/>
      <c r="B70" s="81"/>
      <c r="D70" s="37"/>
      <c r="E70" s="37"/>
      <c r="F70" s="37"/>
      <c r="G70" s="37"/>
      <c r="H70" s="37"/>
    </row>
    <row r="71" spans="1:8" ht="15.75" customHeight="1">
      <c r="A71" s="81"/>
      <c r="B71" s="81"/>
      <c r="D71" s="37"/>
      <c r="E71" s="37"/>
      <c r="F71" s="37"/>
      <c r="G71" s="37"/>
      <c r="H71" s="37"/>
    </row>
    <row r="72" spans="1:8" ht="15.75" customHeight="1">
      <c r="A72" s="81"/>
      <c r="B72" s="81"/>
      <c r="D72" s="37"/>
      <c r="E72" s="37"/>
      <c r="F72" s="37"/>
      <c r="G72" s="37"/>
      <c r="H72" s="37"/>
    </row>
    <row r="73" spans="1:8" ht="15.75" customHeight="1">
      <c r="A73" s="81"/>
      <c r="B73" s="81"/>
      <c r="D73" s="37"/>
      <c r="E73" s="37"/>
      <c r="F73" s="37"/>
      <c r="G73" s="37"/>
      <c r="H73" s="37"/>
    </row>
    <row r="74" spans="1:8" ht="15.75" customHeight="1">
      <c r="A74" s="81"/>
      <c r="B74" s="81"/>
      <c r="D74" s="37"/>
      <c r="E74" s="37"/>
      <c r="F74" s="37"/>
      <c r="G74" s="37"/>
      <c r="H74" s="37"/>
    </row>
    <row r="75" spans="1:8" ht="15.75" customHeight="1">
      <c r="A75" s="81"/>
      <c r="B75" s="81"/>
      <c r="D75" s="37"/>
      <c r="E75" s="37"/>
      <c r="F75" s="37"/>
      <c r="G75" s="37"/>
      <c r="H75" s="37"/>
    </row>
    <row r="76" spans="1:8" ht="15.75" customHeight="1">
      <c r="A76" s="81"/>
      <c r="B76" s="81"/>
      <c r="D76" s="37"/>
      <c r="E76" s="37"/>
      <c r="F76" s="37"/>
      <c r="G76" s="37"/>
      <c r="H76" s="37"/>
    </row>
    <row r="77" spans="1:8" ht="15.75" customHeight="1">
      <c r="A77" s="81"/>
      <c r="B77" s="81"/>
      <c r="D77" s="37"/>
      <c r="E77" s="37"/>
      <c r="F77" s="37"/>
      <c r="G77" s="37"/>
      <c r="H77" s="37"/>
    </row>
    <row r="78" spans="1:8" ht="15.75" customHeight="1">
      <c r="A78" s="81"/>
      <c r="B78" s="81"/>
      <c r="D78" s="37"/>
      <c r="E78" s="37"/>
      <c r="F78" s="37"/>
      <c r="G78" s="37"/>
      <c r="H78" s="37"/>
    </row>
    <row r="79" spans="1:8" ht="15.75" customHeight="1">
      <c r="A79" s="81"/>
      <c r="B79" s="81"/>
      <c r="D79" s="37"/>
      <c r="E79" s="37"/>
      <c r="F79" s="37"/>
      <c r="G79" s="37"/>
      <c r="H79" s="37"/>
    </row>
    <row r="80" spans="1:8" ht="15.75" customHeight="1">
      <c r="A80" s="81"/>
      <c r="B80" s="81"/>
      <c r="D80" s="37"/>
      <c r="E80" s="37"/>
      <c r="F80" s="37"/>
      <c r="G80" s="37"/>
      <c r="H80" s="37"/>
    </row>
    <row r="81" spans="1:8" ht="15.75" customHeight="1">
      <c r="A81" s="81"/>
      <c r="B81" s="81"/>
      <c r="D81" s="37"/>
      <c r="E81" s="37"/>
      <c r="F81" s="37"/>
      <c r="G81" s="37"/>
      <c r="H81" s="37"/>
    </row>
    <row r="82" spans="1:8" ht="15.75" customHeight="1">
      <c r="A82" s="81"/>
      <c r="B82" s="81"/>
      <c r="D82" s="37"/>
      <c r="E82" s="37"/>
      <c r="F82" s="37"/>
      <c r="G82" s="37"/>
      <c r="H82" s="37"/>
    </row>
    <row r="83" spans="1:8" ht="15.75" customHeight="1">
      <c r="A83" s="81"/>
      <c r="B83" s="81"/>
      <c r="D83" s="37"/>
      <c r="E83" s="37"/>
      <c r="F83" s="37"/>
      <c r="G83" s="37"/>
      <c r="H83" s="37"/>
    </row>
    <row r="84" spans="1:8" ht="15.75" customHeight="1">
      <c r="A84" s="81"/>
      <c r="B84" s="81"/>
      <c r="D84" s="37"/>
      <c r="E84" s="37"/>
      <c r="F84" s="37"/>
      <c r="G84" s="37"/>
      <c r="H84" s="37"/>
    </row>
    <row r="85" spans="1:8" ht="15.75" customHeight="1">
      <c r="A85" s="81"/>
      <c r="B85" s="81"/>
      <c r="D85" s="37"/>
      <c r="E85" s="37"/>
      <c r="F85" s="37"/>
      <c r="G85" s="37"/>
      <c r="H85" s="37"/>
    </row>
    <row r="86" spans="1:8" ht="15.75" customHeight="1">
      <c r="A86" s="81"/>
      <c r="B86" s="81"/>
      <c r="D86" s="37"/>
      <c r="E86" s="37"/>
      <c r="F86" s="37"/>
      <c r="G86" s="37"/>
      <c r="H86" s="37"/>
    </row>
    <row r="87" spans="1:8" ht="15.75" customHeight="1">
      <c r="A87" s="81"/>
      <c r="B87" s="81"/>
      <c r="D87" s="37"/>
      <c r="E87" s="37"/>
      <c r="F87" s="37"/>
      <c r="G87" s="37"/>
      <c r="H87" s="37"/>
    </row>
    <row r="88" spans="1:8" ht="15.75" customHeight="1">
      <c r="A88" s="81"/>
      <c r="B88" s="81"/>
      <c r="D88" s="37"/>
      <c r="E88" s="37"/>
      <c r="F88" s="37"/>
      <c r="G88" s="37"/>
      <c r="H88" s="37"/>
    </row>
    <row r="89" spans="1:8" ht="15.75" customHeight="1">
      <c r="A89" s="81"/>
      <c r="B89" s="81"/>
      <c r="D89" s="37"/>
      <c r="E89" s="37"/>
      <c r="F89" s="37"/>
      <c r="G89" s="37"/>
      <c r="H89" s="37"/>
    </row>
    <row r="90" spans="1:8" ht="15.75" customHeight="1">
      <c r="A90" s="81"/>
      <c r="B90" s="81"/>
      <c r="D90" s="37"/>
      <c r="E90" s="37"/>
      <c r="F90" s="37"/>
      <c r="G90" s="37"/>
      <c r="H90" s="37"/>
    </row>
    <row r="91" spans="1:8" ht="15.75" customHeight="1">
      <c r="A91" s="81"/>
      <c r="B91" s="81"/>
      <c r="D91" s="37"/>
      <c r="E91" s="37"/>
      <c r="F91" s="37"/>
      <c r="G91" s="37"/>
      <c r="H91" s="37"/>
    </row>
    <row r="92" spans="1:8" ht="15.75" customHeight="1">
      <c r="A92" s="81"/>
      <c r="B92" s="81"/>
      <c r="D92" s="37"/>
      <c r="E92" s="37"/>
      <c r="F92" s="37"/>
      <c r="G92" s="37"/>
      <c r="H92" s="37"/>
    </row>
    <row r="93" spans="1:8" ht="15.75" customHeight="1">
      <c r="A93" s="81"/>
      <c r="B93" s="81"/>
      <c r="D93" s="37"/>
      <c r="E93" s="37"/>
      <c r="F93" s="37"/>
      <c r="G93" s="37"/>
      <c r="H93" s="37"/>
    </row>
    <row r="94" spans="1:8" ht="15.75" customHeight="1">
      <c r="A94" s="81"/>
      <c r="B94" s="81"/>
      <c r="D94" s="37"/>
      <c r="E94" s="37"/>
      <c r="F94" s="37"/>
      <c r="G94" s="37"/>
      <c r="H94" s="37"/>
    </row>
    <row r="95" spans="1:8" ht="15.75" customHeight="1">
      <c r="A95" s="81"/>
      <c r="B95" s="81"/>
      <c r="D95" s="37"/>
      <c r="E95" s="37"/>
      <c r="F95" s="37"/>
      <c r="G95" s="37"/>
      <c r="H95" s="37"/>
    </row>
    <row r="96" spans="1:8" ht="15.75" customHeight="1">
      <c r="A96" s="81"/>
      <c r="B96" s="81"/>
      <c r="D96" s="37"/>
      <c r="E96" s="37"/>
      <c r="F96" s="37"/>
      <c r="G96" s="37"/>
      <c r="H96" s="37"/>
    </row>
    <row r="97" spans="1:8" ht="15.75" customHeight="1">
      <c r="A97" s="81"/>
      <c r="B97" s="81"/>
      <c r="D97" s="37"/>
      <c r="E97" s="37"/>
      <c r="F97" s="37"/>
      <c r="G97" s="37"/>
      <c r="H97" s="37"/>
    </row>
    <row r="98" spans="1:8" ht="15.75" customHeight="1">
      <c r="A98" s="81"/>
      <c r="B98" s="81"/>
      <c r="D98" s="37"/>
      <c r="E98" s="37"/>
      <c r="F98" s="37"/>
      <c r="G98" s="37"/>
      <c r="H98" s="37"/>
    </row>
    <row r="99" spans="1:8" ht="15.75" customHeight="1">
      <c r="A99" s="81"/>
      <c r="B99" s="81"/>
      <c r="D99" s="37"/>
      <c r="E99" s="37"/>
      <c r="F99" s="37"/>
      <c r="G99" s="37"/>
      <c r="H99" s="37"/>
    </row>
    <row r="100" spans="1:8" ht="15.75" customHeight="1">
      <c r="A100" s="81"/>
      <c r="B100" s="81"/>
      <c r="D100" s="37"/>
      <c r="E100" s="37"/>
      <c r="F100" s="37"/>
      <c r="G100" s="37"/>
      <c r="H100" s="37"/>
    </row>
    <row r="101" spans="1:8" ht="15.75" customHeight="1">
      <c r="A101" s="81"/>
      <c r="B101" s="81"/>
      <c r="D101" s="37"/>
      <c r="E101" s="37"/>
      <c r="F101" s="37"/>
      <c r="G101" s="37"/>
      <c r="H101" s="37"/>
    </row>
    <row r="102" spans="1:8" ht="15.75" customHeight="1">
      <c r="A102" s="81"/>
      <c r="B102" s="81"/>
      <c r="D102" s="37"/>
      <c r="E102" s="37"/>
      <c r="F102" s="37"/>
      <c r="G102" s="37"/>
      <c r="H102" s="37"/>
    </row>
    <row r="103" spans="1:8" ht="15.75" customHeight="1">
      <c r="A103" s="81"/>
      <c r="B103" s="81"/>
      <c r="D103" s="37"/>
      <c r="E103" s="37"/>
      <c r="F103" s="37"/>
      <c r="G103" s="37"/>
      <c r="H103" s="37"/>
    </row>
    <row r="104" spans="1:8" ht="15.75" customHeight="1">
      <c r="A104" s="81"/>
      <c r="B104" s="81"/>
      <c r="D104" s="37"/>
      <c r="E104" s="37"/>
      <c r="F104" s="37"/>
      <c r="G104" s="37"/>
      <c r="H104" s="37"/>
    </row>
    <row r="105" spans="1:8" ht="15.75" customHeight="1">
      <c r="A105" s="81"/>
      <c r="B105" s="81"/>
      <c r="D105" s="37"/>
      <c r="E105" s="37"/>
      <c r="F105" s="37"/>
      <c r="G105" s="37"/>
      <c r="H105" s="37"/>
    </row>
    <row r="106" spans="1:8" ht="15.75" customHeight="1">
      <c r="A106" s="81"/>
      <c r="B106" s="81"/>
      <c r="D106" s="37"/>
      <c r="E106" s="37"/>
      <c r="F106" s="37"/>
      <c r="G106" s="37"/>
      <c r="H106" s="37"/>
    </row>
    <row r="107" spans="1:8" ht="15.75" customHeight="1">
      <c r="A107" s="81"/>
      <c r="B107" s="81"/>
      <c r="D107" s="37"/>
      <c r="E107" s="37"/>
      <c r="F107" s="37"/>
      <c r="G107" s="37"/>
      <c r="H107" s="37"/>
    </row>
    <row r="108" spans="1:8" ht="15.75" customHeight="1">
      <c r="A108" s="81"/>
      <c r="B108" s="81"/>
      <c r="D108" s="37"/>
      <c r="E108" s="37"/>
      <c r="F108" s="37"/>
      <c r="G108" s="37"/>
      <c r="H108" s="37"/>
    </row>
    <row r="109" spans="1:8" ht="15.75" customHeight="1">
      <c r="A109" s="81"/>
      <c r="B109" s="81"/>
      <c r="D109" s="37"/>
      <c r="E109" s="37"/>
      <c r="F109" s="37"/>
      <c r="G109" s="37"/>
      <c r="H109" s="37"/>
    </row>
    <row r="110" spans="1:8" ht="15.75" customHeight="1">
      <c r="A110" s="81"/>
      <c r="B110" s="81"/>
      <c r="D110" s="37"/>
      <c r="E110" s="37"/>
      <c r="F110" s="37"/>
      <c r="G110" s="37"/>
      <c r="H110" s="37"/>
    </row>
    <row r="111" spans="1:8" ht="15.75" customHeight="1">
      <c r="A111" s="81"/>
      <c r="B111" s="81"/>
      <c r="D111" s="37"/>
      <c r="E111" s="37"/>
      <c r="F111" s="37"/>
      <c r="G111" s="37"/>
      <c r="H111" s="37"/>
    </row>
    <row r="112" spans="1:8" ht="15.75" customHeight="1">
      <c r="A112" s="81"/>
      <c r="B112" s="81"/>
      <c r="D112" s="37"/>
      <c r="E112" s="37"/>
      <c r="F112" s="37"/>
      <c r="G112" s="37"/>
      <c r="H112" s="37"/>
    </row>
    <row r="113" spans="1:8" ht="15.75" customHeight="1">
      <c r="A113" s="81"/>
      <c r="B113" s="81"/>
      <c r="D113" s="37"/>
      <c r="E113" s="37"/>
      <c r="F113" s="37"/>
      <c r="G113" s="37"/>
      <c r="H113" s="37"/>
    </row>
    <row r="114" spans="1:8" ht="15.75" customHeight="1">
      <c r="A114" s="81"/>
      <c r="B114" s="81"/>
      <c r="D114" s="37"/>
      <c r="E114" s="37"/>
      <c r="F114" s="37"/>
      <c r="G114" s="37"/>
      <c r="H114" s="37"/>
    </row>
    <row r="115" spans="1:8" ht="15.75" customHeight="1">
      <c r="A115" s="81"/>
      <c r="B115" s="81"/>
      <c r="D115" s="37"/>
      <c r="E115" s="37"/>
      <c r="F115" s="37"/>
      <c r="G115" s="37"/>
      <c r="H115" s="37"/>
    </row>
    <row r="116" spans="1:8" ht="15.75" customHeight="1">
      <c r="A116" s="81"/>
      <c r="B116" s="81"/>
      <c r="D116" s="37"/>
      <c r="E116" s="37"/>
      <c r="F116" s="37"/>
      <c r="G116" s="37"/>
      <c r="H116" s="37"/>
    </row>
    <row r="117" spans="1:8" ht="15.75" customHeight="1">
      <c r="A117" s="81"/>
      <c r="B117" s="81"/>
      <c r="D117" s="37"/>
      <c r="E117" s="37"/>
      <c r="F117" s="37"/>
      <c r="G117" s="37"/>
      <c r="H117" s="37"/>
    </row>
    <row r="118" spans="1:8" ht="15.75" customHeight="1">
      <c r="A118" s="81"/>
      <c r="B118" s="81"/>
      <c r="D118" s="37"/>
      <c r="E118" s="37"/>
      <c r="F118" s="37"/>
      <c r="G118" s="37"/>
      <c r="H118" s="37"/>
    </row>
    <row r="119" spans="1:8" ht="15.75" customHeight="1">
      <c r="A119" s="81"/>
      <c r="B119" s="81"/>
      <c r="D119" s="37"/>
      <c r="E119" s="37"/>
      <c r="F119" s="37"/>
      <c r="G119" s="37"/>
      <c r="H119" s="37"/>
    </row>
    <row r="120" spans="1:8" ht="15.75" customHeight="1">
      <c r="A120" s="81"/>
      <c r="B120" s="81"/>
      <c r="D120" s="37"/>
      <c r="E120" s="37"/>
      <c r="F120" s="37"/>
      <c r="G120" s="37"/>
      <c r="H120" s="37"/>
    </row>
    <row r="121" spans="1:8" ht="15.75" customHeight="1">
      <c r="A121" s="81"/>
      <c r="B121" s="81"/>
      <c r="D121" s="37"/>
      <c r="E121" s="37"/>
      <c r="F121" s="37"/>
      <c r="G121" s="37"/>
      <c r="H121" s="37"/>
    </row>
    <row r="122" spans="1:8" ht="15.75" customHeight="1">
      <c r="A122" s="81"/>
      <c r="B122" s="81"/>
      <c r="D122" s="37"/>
      <c r="E122" s="37"/>
      <c r="F122" s="37"/>
      <c r="G122" s="37"/>
      <c r="H122" s="37"/>
    </row>
    <row r="123" spans="1:8" ht="15.75" customHeight="1">
      <c r="A123" s="81"/>
      <c r="B123" s="81"/>
      <c r="D123" s="37"/>
      <c r="E123" s="37"/>
      <c r="F123" s="37"/>
      <c r="G123" s="37"/>
      <c r="H123" s="37"/>
    </row>
    <row r="124" spans="1:8" ht="15.75" customHeight="1">
      <c r="A124" s="81"/>
      <c r="B124" s="81"/>
      <c r="D124" s="37"/>
      <c r="E124" s="37"/>
      <c r="F124" s="37"/>
      <c r="G124" s="37"/>
      <c r="H124" s="37"/>
    </row>
    <row r="125" spans="1:8" ht="15.75" customHeight="1">
      <c r="A125" s="81"/>
      <c r="B125" s="81"/>
      <c r="D125" s="37"/>
      <c r="E125" s="37"/>
      <c r="F125" s="37"/>
      <c r="G125" s="37"/>
      <c r="H125" s="37"/>
    </row>
    <row r="126" spans="1:8" ht="15.75" customHeight="1">
      <c r="A126" s="81"/>
      <c r="B126" s="81"/>
      <c r="D126" s="37"/>
      <c r="E126" s="37"/>
      <c r="F126" s="37"/>
      <c r="G126" s="37"/>
      <c r="H126" s="37"/>
    </row>
    <row r="127" spans="1:8" ht="15.75" customHeight="1">
      <c r="A127" s="81"/>
      <c r="B127" s="81"/>
      <c r="D127" s="37"/>
      <c r="E127" s="37"/>
      <c r="F127" s="37"/>
      <c r="G127" s="37"/>
      <c r="H127" s="37"/>
    </row>
    <row r="128" spans="1:8" ht="15.75" customHeight="1">
      <c r="A128" s="81"/>
      <c r="B128" s="81"/>
      <c r="D128" s="37"/>
      <c r="E128" s="37"/>
      <c r="F128" s="37"/>
      <c r="G128" s="37"/>
      <c r="H128" s="37"/>
    </row>
    <row r="129" spans="1:8" ht="15.75" customHeight="1">
      <c r="A129" s="81"/>
      <c r="B129" s="81"/>
      <c r="D129" s="37"/>
      <c r="E129" s="37"/>
      <c r="F129" s="37"/>
      <c r="G129" s="37"/>
      <c r="H129" s="37"/>
    </row>
    <row r="130" spans="1:8" ht="15.75" customHeight="1">
      <c r="A130" s="81"/>
      <c r="B130" s="81"/>
      <c r="D130" s="37"/>
      <c r="E130" s="37"/>
      <c r="F130" s="37"/>
      <c r="G130" s="37"/>
      <c r="H130" s="37"/>
    </row>
    <row r="131" spans="1:8" ht="15.75" customHeight="1">
      <c r="A131" s="81"/>
      <c r="B131" s="81"/>
      <c r="D131" s="37"/>
      <c r="E131" s="37"/>
      <c r="F131" s="37"/>
      <c r="G131" s="37"/>
      <c r="H131" s="37"/>
    </row>
    <row r="132" spans="1:8" ht="15.75" customHeight="1">
      <c r="A132" s="81"/>
      <c r="B132" s="81"/>
      <c r="D132" s="37"/>
      <c r="E132" s="37"/>
      <c r="F132" s="37"/>
      <c r="G132" s="37"/>
      <c r="H132" s="37"/>
    </row>
    <row r="133" spans="1:8" ht="15.75" customHeight="1">
      <c r="A133" s="81"/>
      <c r="B133" s="81"/>
      <c r="D133" s="37"/>
      <c r="E133" s="37"/>
      <c r="F133" s="37"/>
      <c r="G133" s="37"/>
      <c r="H133" s="37"/>
    </row>
    <row r="134" spans="1:8" ht="15.75" customHeight="1">
      <c r="A134" s="81"/>
      <c r="B134" s="81"/>
      <c r="D134" s="37"/>
      <c r="E134" s="37"/>
      <c r="F134" s="37"/>
      <c r="G134" s="37"/>
      <c r="H134" s="37"/>
    </row>
    <row r="135" spans="1:8" ht="15.75" customHeight="1">
      <c r="A135" s="81"/>
      <c r="B135" s="81"/>
      <c r="D135" s="37"/>
      <c r="E135" s="37"/>
      <c r="F135" s="37"/>
      <c r="G135" s="37"/>
      <c r="H135" s="37"/>
    </row>
    <row r="136" spans="1:8" ht="15.75" customHeight="1">
      <c r="A136" s="81"/>
      <c r="B136" s="81"/>
      <c r="D136" s="37"/>
      <c r="E136" s="37"/>
      <c r="F136" s="37"/>
      <c r="G136" s="37"/>
      <c r="H136" s="37"/>
    </row>
    <row r="137" spans="1:8" ht="15.75" customHeight="1">
      <c r="A137" s="81"/>
      <c r="B137" s="81"/>
      <c r="D137" s="37"/>
      <c r="E137" s="37"/>
      <c r="F137" s="37"/>
      <c r="G137" s="37"/>
      <c r="H137" s="37"/>
    </row>
    <row r="138" spans="1:8" ht="15.75" customHeight="1">
      <c r="A138" s="81"/>
      <c r="B138" s="81"/>
      <c r="D138" s="37"/>
      <c r="E138" s="37"/>
      <c r="F138" s="37"/>
      <c r="G138" s="37"/>
      <c r="H138" s="37"/>
    </row>
    <row r="139" spans="1:8" ht="15.75" customHeight="1">
      <c r="A139" s="81"/>
      <c r="B139" s="81"/>
      <c r="D139" s="37"/>
      <c r="E139" s="37"/>
      <c r="F139" s="37"/>
      <c r="G139" s="37"/>
      <c r="H139" s="37"/>
    </row>
    <row r="140" spans="1:8" ht="15.75" customHeight="1">
      <c r="A140" s="81"/>
      <c r="B140" s="81"/>
      <c r="D140" s="37"/>
      <c r="E140" s="37"/>
      <c r="F140" s="37"/>
      <c r="G140" s="37"/>
      <c r="H140" s="37"/>
    </row>
    <row r="141" spans="1:8" ht="15.75" customHeight="1">
      <c r="A141" s="81"/>
      <c r="B141" s="81"/>
      <c r="D141" s="37"/>
      <c r="E141" s="37"/>
      <c r="F141" s="37"/>
      <c r="G141" s="37"/>
      <c r="H141" s="37"/>
    </row>
    <row r="142" spans="1:8" ht="15.75" customHeight="1">
      <c r="A142" s="81"/>
      <c r="B142" s="81"/>
      <c r="D142" s="37"/>
      <c r="E142" s="37"/>
      <c r="F142" s="37"/>
      <c r="G142" s="37"/>
      <c r="H142" s="37"/>
    </row>
    <row r="143" spans="1:8" ht="15.75" customHeight="1">
      <c r="A143" s="81"/>
      <c r="B143" s="81"/>
      <c r="D143" s="37"/>
      <c r="E143" s="37"/>
      <c r="F143" s="37"/>
      <c r="G143" s="37"/>
      <c r="H143" s="37"/>
    </row>
    <row r="144" spans="1:8" ht="15.75" customHeight="1">
      <c r="A144" s="81"/>
      <c r="B144" s="81"/>
      <c r="D144" s="37"/>
      <c r="E144" s="37"/>
      <c r="F144" s="37"/>
      <c r="G144" s="37"/>
      <c r="H144" s="37"/>
    </row>
    <row r="145" spans="1:8" ht="15.75" customHeight="1">
      <c r="A145" s="81"/>
      <c r="B145" s="81"/>
      <c r="D145" s="37"/>
      <c r="E145" s="37"/>
      <c r="F145" s="37"/>
      <c r="G145" s="37"/>
      <c r="H145" s="37"/>
    </row>
    <row r="146" spans="1:8" ht="15.75" customHeight="1">
      <c r="A146" s="81"/>
      <c r="B146" s="81"/>
      <c r="D146" s="37"/>
      <c r="E146" s="37"/>
      <c r="F146" s="37"/>
      <c r="G146" s="37"/>
      <c r="H146" s="37"/>
    </row>
    <row r="147" spans="1:8" ht="15.75" customHeight="1">
      <c r="A147" s="81"/>
      <c r="B147" s="81"/>
      <c r="D147" s="37"/>
      <c r="E147" s="37"/>
      <c r="F147" s="37"/>
      <c r="G147" s="37"/>
      <c r="H147" s="37"/>
    </row>
    <row r="148" spans="1:8" ht="15.75" customHeight="1">
      <c r="A148" s="81"/>
      <c r="B148" s="81"/>
      <c r="D148" s="37"/>
      <c r="E148" s="37"/>
      <c r="F148" s="37"/>
      <c r="G148" s="37"/>
      <c r="H148" s="37"/>
    </row>
    <row r="149" spans="1:8" ht="15.75" customHeight="1">
      <c r="A149" s="81"/>
      <c r="B149" s="81"/>
      <c r="D149" s="37"/>
      <c r="E149" s="37"/>
      <c r="F149" s="37"/>
      <c r="G149" s="37"/>
      <c r="H149" s="37"/>
    </row>
    <row r="150" spans="1:8" ht="15.75" customHeight="1">
      <c r="A150" s="81"/>
      <c r="B150" s="81"/>
      <c r="D150" s="37"/>
      <c r="E150" s="37"/>
      <c r="F150" s="37"/>
      <c r="G150" s="37"/>
      <c r="H150" s="37"/>
    </row>
    <row r="151" spans="1:8" ht="15.75" customHeight="1">
      <c r="A151" s="81"/>
      <c r="B151" s="81"/>
      <c r="D151" s="37"/>
      <c r="E151" s="37"/>
      <c r="F151" s="37"/>
      <c r="G151" s="37"/>
      <c r="H151" s="37"/>
    </row>
    <row r="152" spans="1:8" ht="15.75" customHeight="1">
      <c r="A152" s="81"/>
      <c r="B152" s="81"/>
      <c r="D152" s="37"/>
      <c r="E152" s="37"/>
      <c r="F152" s="37"/>
      <c r="G152" s="37"/>
      <c r="H152" s="37"/>
    </row>
    <row r="153" spans="1:8" ht="15.75" customHeight="1">
      <c r="A153" s="81"/>
      <c r="B153" s="81"/>
      <c r="D153" s="37"/>
      <c r="E153" s="37"/>
      <c r="F153" s="37"/>
      <c r="G153" s="37"/>
      <c r="H153" s="37"/>
    </row>
    <row r="154" spans="1:8" ht="15.75" customHeight="1">
      <c r="A154" s="81"/>
      <c r="B154" s="81"/>
      <c r="D154" s="37"/>
      <c r="E154" s="37"/>
      <c r="F154" s="37"/>
      <c r="G154" s="37"/>
      <c r="H154" s="37"/>
    </row>
    <row r="155" spans="1:8" ht="15.75" customHeight="1">
      <c r="A155" s="81"/>
      <c r="B155" s="81"/>
      <c r="D155" s="37"/>
      <c r="E155" s="37"/>
      <c r="F155" s="37"/>
      <c r="G155" s="37"/>
      <c r="H155" s="37"/>
    </row>
    <row r="156" spans="1:8" ht="15.75" customHeight="1">
      <c r="A156" s="81"/>
      <c r="B156" s="81"/>
      <c r="D156" s="37"/>
      <c r="E156" s="37"/>
      <c r="F156" s="37"/>
      <c r="G156" s="37"/>
      <c r="H156" s="37"/>
    </row>
    <row r="157" spans="1:8" ht="15.75" customHeight="1">
      <c r="A157" s="81"/>
      <c r="B157" s="81"/>
      <c r="D157" s="37"/>
      <c r="E157" s="37"/>
      <c r="F157" s="37"/>
      <c r="G157" s="37"/>
      <c r="H157" s="37"/>
    </row>
    <row r="158" spans="1:8" ht="15.75" customHeight="1">
      <c r="A158" s="81"/>
      <c r="B158" s="81"/>
      <c r="D158" s="37"/>
      <c r="E158" s="37"/>
      <c r="F158" s="37"/>
      <c r="G158" s="37"/>
      <c r="H158" s="37"/>
    </row>
    <row r="159" spans="1:8" ht="15.75" customHeight="1">
      <c r="A159" s="81"/>
      <c r="B159" s="81"/>
      <c r="D159" s="37"/>
      <c r="E159" s="37"/>
      <c r="F159" s="37"/>
      <c r="G159" s="37"/>
      <c r="H159" s="37"/>
    </row>
    <row r="160" spans="1:8" ht="15.75" customHeight="1">
      <c r="A160" s="81"/>
      <c r="B160" s="81"/>
      <c r="D160" s="37"/>
      <c r="E160" s="37"/>
      <c r="F160" s="37"/>
      <c r="G160" s="37"/>
      <c r="H160" s="37"/>
    </row>
    <row r="161" spans="1:8" ht="15.75" customHeight="1">
      <c r="A161" s="81"/>
      <c r="B161" s="81"/>
      <c r="D161" s="37"/>
      <c r="E161" s="37"/>
      <c r="F161" s="37"/>
      <c r="G161" s="37"/>
      <c r="H161" s="37"/>
    </row>
    <row r="162" spans="1:8" ht="15.75" customHeight="1">
      <c r="A162" s="81"/>
      <c r="B162" s="81"/>
      <c r="D162" s="37"/>
      <c r="E162" s="37"/>
      <c r="F162" s="37"/>
      <c r="G162" s="37"/>
      <c r="H162" s="37"/>
    </row>
    <row r="163" spans="1:8" ht="15.75" customHeight="1">
      <c r="A163" s="81"/>
      <c r="B163" s="81"/>
      <c r="D163" s="37"/>
      <c r="E163" s="37"/>
      <c r="F163" s="37"/>
      <c r="G163" s="37"/>
      <c r="H163" s="37"/>
    </row>
    <row r="164" spans="1:8" ht="15.75" customHeight="1">
      <c r="A164" s="81"/>
      <c r="B164" s="81"/>
      <c r="D164" s="37"/>
      <c r="E164" s="37"/>
      <c r="F164" s="37"/>
      <c r="G164" s="37"/>
      <c r="H164" s="37"/>
    </row>
    <row r="165" spans="1:8" ht="15.75" customHeight="1">
      <c r="A165" s="81"/>
      <c r="B165" s="81"/>
      <c r="D165" s="37"/>
      <c r="E165" s="37"/>
      <c r="F165" s="37"/>
      <c r="G165" s="37"/>
      <c r="H165" s="37"/>
    </row>
    <row r="166" spans="1:8" ht="15.75" customHeight="1">
      <c r="A166" s="81"/>
      <c r="B166" s="81"/>
      <c r="D166" s="37"/>
      <c r="E166" s="37"/>
      <c r="F166" s="37"/>
      <c r="G166" s="37"/>
      <c r="H166" s="37"/>
    </row>
    <row r="167" spans="1:8" ht="15.75" customHeight="1">
      <c r="A167" s="81"/>
      <c r="B167" s="81"/>
      <c r="D167" s="37"/>
      <c r="E167" s="37"/>
      <c r="F167" s="37"/>
      <c r="G167" s="37"/>
      <c r="H167" s="37"/>
    </row>
    <row r="168" spans="1:8" ht="15.75" customHeight="1">
      <c r="A168" s="81"/>
      <c r="B168" s="81"/>
      <c r="D168" s="37"/>
      <c r="E168" s="37"/>
      <c r="F168" s="37"/>
      <c r="G168" s="37"/>
      <c r="H168" s="37"/>
    </row>
    <row r="169" spans="1:8" ht="15.75" customHeight="1">
      <c r="A169" s="81"/>
      <c r="B169" s="81"/>
      <c r="D169" s="37"/>
      <c r="E169" s="37"/>
      <c r="F169" s="37"/>
      <c r="G169" s="37"/>
      <c r="H169" s="37"/>
    </row>
    <row r="170" spans="1:8" ht="15.75" customHeight="1">
      <c r="A170" s="81"/>
      <c r="B170" s="81"/>
      <c r="D170" s="37"/>
      <c r="E170" s="37"/>
      <c r="F170" s="37"/>
      <c r="G170" s="37"/>
      <c r="H170" s="37"/>
    </row>
    <row r="171" spans="1:8" ht="15.75" customHeight="1">
      <c r="A171" s="81"/>
      <c r="B171" s="81"/>
      <c r="D171" s="37"/>
      <c r="E171" s="37"/>
      <c r="F171" s="37"/>
      <c r="G171" s="37"/>
      <c r="H171" s="37"/>
    </row>
    <row r="172" spans="1:8" ht="15.75" customHeight="1">
      <c r="A172" s="81"/>
      <c r="B172" s="81"/>
      <c r="D172" s="37"/>
      <c r="E172" s="37"/>
      <c r="F172" s="37"/>
      <c r="G172" s="37"/>
      <c r="H172" s="37"/>
    </row>
    <row r="173" spans="1:8" ht="15.75" customHeight="1">
      <c r="A173" s="81"/>
      <c r="B173" s="81"/>
      <c r="D173" s="37"/>
      <c r="E173" s="37"/>
      <c r="F173" s="37"/>
      <c r="G173" s="37"/>
      <c r="H173" s="37"/>
    </row>
    <row r="174" spans="1:8" ht="15.75" customHeight="1">
      <c r="A174" s="81"/>
      <c r="B174" s="81"/>
      <c r="D174" s="37"/>
      <c r="E174" s="37"/>
      <c r="F174" s="37"/>
      <c r="G174" s="37"/>
      <c r="H174" s="37"/>
    </row>
    <row r="175" spans="1:8" ht="15.75" customHeight="1">
      <c r="A175" s="81"/>
      <c r="B175" s="81"/>
      <c r="D175" s="37"/>
      <c r="E175" s="37"/>
      <c r="F175" s="37"/>
      <c r="G175" s="37"/>
      <c r="H175" s="37"/>
    </row>
    <row r="176" spans="1:8" ht="15.75" customHeight="1">
      <c r="A176" s="81"/>
      <c r="B176" s="81"/>
      <c r="D176" s="37"/>
      <c r="E176" s="37"/>
      <c r="F176" s="37"/>
      <c r="G176" s="37"/>
      <c r="H176" s="37"/>
    </row>
    <row r="177" spans="1:8" ht="15.75" customHeight="1">
      <c r="A177" s="81"/>
      <c r="B177" s="81"/>
      <c r="D177" s="37"/>
      <c r="E177" s="37"/>
      <c r="F177" s="37"/>
      <c r="G177" s="37"/>
      <c r="H177" s="37"/>
    </row>
    <row r="178" spans="1:8" ht="15.75" customHeight="1">
      <c r="A178" s="81"/>
      <c r="B178" s="81"/>
      <c r="D178" s="37"/>
      <c r="E178" s="37"/>
      <c r="F178" s="37"/>
      <c r="G178" s="37"/>
      <c r="H178" s="37"/>
    </row>
    <row r="179" spans="1:8" ht="15.75" customHeight="1">
      <c r="A179" s="81"/>
      <c r="B179" s="81"/>
      <c r="D179" s="37"/>
      <c r="E179" s="37"/>
      <c r="F179" s="37"/>
      <c r="G179" s="37"/>
      <c r="H179" s="37"/>
    </row>
    <row r="180" spans="1:8" ht="15.75" customHeight="1">
      <c r="A180" s="81"/>
      <c r="B180" s="81"/>
      <c r="D180" s="37"/>
      <c r="E180" s="37"/>
      <c r="F180" s="37"/>
      <c r="G180" s="37"/>
      <c r="H180" s="37"/>
    </row>
    <row r="181" spans="1:8" ht="15.75" customHeight="1">
      <c r="A181" s="81"/>
      <c r="B181" s="81"/>
      <c r="D181" s="37"/>
      <c r="E181" s="37"/>
      <c r="F181" s="37"/>
      <c r="G181" s="37"/>
      <c r="H181" s="37"/>
    </row>
    <row r="182" spans="1:8" ht="15.75" customHeight="1">
      <c r="A182" s="81"/>
      <c r="B182" s="81"/>
      <c r="D182" s="37"/>
      <c r="E182" s="37"/>
      <c r="F182" s="37"/>
      <c r="G182" s="37"/>
      <c r="H182" s="37"/>
    </row>
    <row r="183" spans="1:8" ht="15.75" customHeight="1">
      <c r="A183" s="81"/>
      <c r="B183" s="81"/>
      <c r="D183" s="37"/>
      <c r="E183" s="37"/>
      <c r="F183" s="37"/>
      <c r="G183" s="37"/>
      <c r="H183" s="37"/>
    </row>
    <row r="184" spans="1:8" ht="15.75" customHeight="1">
      <c r="A184" s="81"/>
      <c r="B184" s="81"/>
      <c r="D184" s="37"/>
      <c r="E184" s="37"/>
      <c r="F184" s="37"/>
      <c r="G184" s="37"/>
      <c r="H184" s="37"/>
    </row>
    <row r="185" spans="1:8" ht="15.75" customHeight="1">
      <c r="A185" s="81"/>
      <c r="B185" s="81"/>
      <c r="D185" s="37"/>
      <c r="E185" s="37"/>
      <c r="F185" s="37"/>
      <c r="G185" s="37"/>
      <c r="H185" s="37"/>
    </row>
    <row r="186" spans="1:8" ht="15.75" customHeight="1">
      <c r="A186" s="81"/>
      <c r="B186" s="81"/>
      <c r="D186" s="37"/>
      <c r="E186" s="37"/>
      <c r="F186" s="37"/>
      <c r="G186" s="37"/>
      <c r="H186" s="37"/>
    </row>
    <row r="187" spans="1:8" ht="15.75" customHeight="1">
      <c r="A187" s="81"/>
      <c r="B187" s="81"/>
      <c r="D187" s="37"/>
      <c r="E187" s="37"/>
      <c r="F187" s="37"/>
      <c r="G187" s="37"/>
      <c r="H187" s="37"/>
    </row>
    <row r="188" spans="1:8" ht="15.75" customHeight="1">
      <c r="A188" s="81"/>
      <c r="B188" s="81"/>
      <c r="D188" s="37"/>
      <c r="E188" s="37"/>
      <c r="F188" s="37"/>
      <c r="G188" s="37"/>
      <c r="H188" s="37"/>
    </row>
    <row r="189" spans="1:8" ht="15.75" customHeight="1">
      <c r="A189" s="81"/>
      <c r="B189" s="81"/>
      <c r="D189" s="37"/>
      <c r="E189" s="37"/>
      <c r="F189" s="37"/>
      <c r="G189" s="37"/>
      <c r="H189" s="37"/>
    </row>
    <row r="190" spans="1:8" ht="15.75" customHeight="1">
      <c r="A190" s="81"/>
      <c r="B190" s="81"/>
      <c r="D190" s="37"/>
      <c r="E190" s="37"/>
      <c r="F190" s="37"/>
      <c r="G190" s="37"/>
      <c r="H190" s="37"/>
    </row>
    <row r="191" spans="1:8" ht="15.75" customHeight="1">
      <c r="A191" s="81"/>
      <c r="B191" s="81"/>
      <c r="D191" s="37"/>
      <c r="E191" s="37"/>
      <c r="F191" s="37"/>
      <c r="G191" s="37"/>
      <c r="H191" s="37"/>
    </row>
    <row r="192" spans="1:8" ht="15.75" customHeight="1">
      <c r="A192" s="81"/>
      <c r="B192" s="81"/>
      <c r="D192" s="37"/>
      <c r="E192" s="37"/>
      <c r="F192" s="37"/>
      <c r="G192" s="37"/>
      <c r="H192" s="37"/>
    </row>
    <row r="193" spans="1:8" ht="15.75" customHeight="1">
      <c r="A193" s="81"/>
      <c r="B193" s="81"/>
      <c r="D193" s="37"/>
      <c r="E193" s="37"/>
      <c r="F193" s="37"/>
      <c r="G193" s="37"/>
      <c r="H193" s="37"/>
    </row>
    <row r="194" spans="1:8" ht="15.75" customHeight="1">
      <c r="A194" s="81"/>
      <c r="B194" s="81"/>
      <c r="D194" s="37"/>
      <c r="E194" s="37"/>
      <c r="F194" s="37"/>
      <c r="G194" s="37"/>
      <c r="H194" s="37"/>
    </row>
    <row r="195" spans="1:8" ht="15.75" customHeight="1">
      <c r="A195" s="81"/>
      <c r="B195" s="81"/>
      <c r="D195" s="37"/>
      <c r="E195" s="37"/>
      <c r="F195" s="37"/>
      <c r="G195" s="37"/>
      <c r="H195" s="37"/>
    </row>
    <row r="196" spans="1:8" ht="15.75" customHeight="1">
      <c r="A196" s="81"/>
      <c r="B196" s="81"/>
      <c r="D196" s="37"/>
      <c r="E196" s="37"/>
      <c r="F196" s="37"/>
      <c r="G196" s="37"/>
      <c r="H196" s="37"/>
    </row>
    <row r="197" spans="1:8" ht="15.75" customHeight="1">
      <c r="A197" s="81"/>
      <c r="B197" s="81"/>
      <c r="D197" s="37"/>
      <c r="E197" s="37"/>
      <c r="F197" s="37"/>
      <c r="G197" s="37"/>
      <c r="H197" s="37"/>
    </row>
    <row r="198" spans="1:8" ht="15.75" customHeight="1">
      <c r="A198" s="81"/>
      <c r="B198" s="81"/>
      <c r="D198" s="37"/>
      <c r="E198" s="37"/>
      <c r="F198" s="37"/>
      <c r="G198" s="37"/>
      <c r="H198" s="37"/>
    </row>
    <row r="199" spans="1:8" ht="15.75" customHeight="1">
      <c r="A199" s="81"/>
      <c r="B199" s="81"/>
      <c r="D199" s="37"/>
      <c r="E199" s="37"/>
      <c r="F199" s="37"/>
      <c r="G199" s="37"/>
      <c r="H199" s="37"/>
    </row>
    <row r="200" spans="1:8" ht="15.75" customHeight="1">
      <c r="A200" s="81"/>
      <c r="B200" s="81"/>
      <c r="D200" s="37"/>
      <c r="E200" s="37"/>
      <c r="F200" s="37"/>
      <c r="G200" s="37"/>
      <c r="H200" s="37"/>
    </row>
    <row r="201" spans="1:8" ht="15.75" customHeight="1">
      <c r="A201" s="81"/>
      <c r="B201" s="81"/>
      <c r="D201" s="37"/>
      <c r="E201" s="37"/>
      <c r="F201" s="37"/>
      <c r="G201" s="37"/>
      <c r="H201" s="37"/>
    </row>
    <row r="202" spans="1:8" ht="15.75" customHeight="1">
      <c r="A202" s="81"/>
      <c r="B202" s="81"/>
      <c r="D202" s="37"/>
      <c r="E202" s="37"/>
      <c r="F202" s="37"/>
      <c r="G202" s="37"/>
      <c r="H202" s="37"/>
    </row>
    <row r="203" spans="1:8" ht="15.75" customHeight="1">
      <c r="A203" s="81"/>
      <c r="B203" s="81"/>
      <c r="D203" s="37"/>
      <c r="E203" s="37"/>
      <c r="F203" s="37"/>
      <c r="G203" s="37"/>
      <c r="H203" s="37"/>
    </row>
    <row r="204" spans="1:8" ht="15.75" customHeight="1">
      <c r="A204" s="81"/>
      <c r="B204" s="81"/>
      <c r="D204" s="37"/>
      <c r="E204" s="37"/>
      <c r="F204" s="37"/>
      <c r="G204" s="37"/>
      <c r="H204" s="37"/>
    </row>
    <row r="205" spans="1:8" ht="15.75" customHeight="1">
      <c r="A205" s="81"/>
      <c r="B205" s="81"/>
      <c r="D205" s="37"/>
      <c r="E205" s="37"/>
      <c r="F205" s="37"/>
      <c r="G205" s="37"/>
      <c r="H205" s="37"/>
    </row>
    <row r="206" spans="1:8" ht="15.75" customHeight="1">
      <c r="A206" s="81"/>
      <c r="B206" s="81"/>
      <c r="D206" s="37"/>
      <c r="E206" s="37"/>
      <c r="F206" s="37"/>
      <c r="G206" s="37"/>
      <c r="H206" s="37"/>
    </row>
    <row r="207" spans="1:8" ht="15.75" customHeight="1">
      <c r="A207" s="81"/>
      <c r="B207" s="81"/>
      <c r="D207" s="37"/>
      <c r="E207" s="37"/>
      <c r="F207" s="37"/>
      <c r="G207" s="37"/>
      <c r="H207" s="37"/>
    </row>
    <row r="208" spans="1:8" ht="15.75" customHeight="1">
      <c r="A208" s="81"/>
      <c r="B208" s="81"/>
      <c r="D208" s="37"/>
      <c r="E208" s="37"/>
      <c r="F208" s="37"/>
      <c r="G208" s="37"/>
      <c r="H208" s="37"/>
    </row>
    <row r="209" spans="1:8" ht="15.75" customHeight="1">
      <c r="A209" s="81"/>
      <c r="B209" s="81"/>
      <c r="D209" s="37"/>
      <c r="E209" s="37"/>
      <c r="F209" s="37"/>
      <c r="G209" s="37"/>
      <c r="H209" s="37"/>
    </row>
    <row r="210" spans="1:8" ht="15.75" customHeight="1">
      <c r="A210" s="81"/>
      <c r="B210" s="81"/>
      <c r="D210" s="37"/>
      <c r="E210" s="37"/>
      <c r="F210" s="37"/>
      <c r="G210" s="37"/>
      <c r="H210" s="37"/>
    </row>
    <row r="211" spans="1:8" ht="15.75" customHeight="1">
      <c r="A211" s="81"/>
      <c r="B211" s="81"/>
      <c r="D211" s="37"/>
      <c r="E211" s="37"/>
      <c r="F211" s="37"/>
      <c r="G211" s="37"/>
      <c r="H211" s="37"/>
    </row>
    <row r="212" spans="1:8" ht="15.75" customHeight="1">
      <c r="A212" s="81"/>
      <c r="B212" s="81"/>
      <c r="D212" s="37"/>
      <c r="E212" s="37"/>
      <c r="F212" s="37"/>
      <c r="G212" s="37"/>
      <c r="H212" s="37"/>
    </row>
    <row r="213" spans="1:8" ht="15.75" customHeight="1">
      <c r="A213" s="81"/>
      <c r="B213" s="81"/>
      <c r="D213" s="37"/>
      <c r="E213" s="37"/>
      <c r="F213" s="37"/>
      <c r="G213" s="37"/>
      <c r="H213" s="37"/>
    </row>
    <row r="214" spans="1:8" ht="15.75" customHeight="1">
      <c r="A214" s="81"/>
      <c r="B214" s="81"/>
      <c r="D214" s="37"/>
      <c r="E214" s="37"/>
      <c r="F214" s="37"/>
      <c r="G214" s="37"/>
      <c r="H214" s="37"/>
    </row>
    <row r="215" spans="1:8" ht="15.75" customHeight="1">
      <c r="A215" s="81"/>
      <c r="B215" s="81"/>
      <c r="D215" s="37"/>
      <c r="E215" s="37"/>
      <c r="F215" s="37"/>
      <c r="G215" s="37"/>
      <c r="H215" s="37"/>
    </row>
    <row r="216" spans="1:8" ht="15.75" customHeight="1">
      <c r="A216" s="81"/>
      <c r="B216" s="81"/>
      <c r="D216" s="37"/>
      <c r="E216" s="37"/>
      <c r="F216" s="37"/>
      <c r="G216" s="37"/>
      <c r="H216" s="37"/>
    </row>
    <row r="217" spans="1:8" ht="15.75" customHeight="1">
      <c r="A217" s="81"/>
      <c r="B217" s="81"/>
      <c r="D217" s="37"/>
      <c r="E217" s="37"/>
      <c r="F217" s="37"/>
      <c r="G217" s="37"/>
      <c r="H217" s="37"/>
    </row>
    <row r="218" spans="1:8" ht="15.75" customHeight="1">
      <c r="A218" s="81"/>
      <c r="B218" s="81"/>
      <c r="D218" s="37"/>
      <c r="E218" s="37"/>
      <c r="F218" s="37"/>
      <c r="G218" s="37"/>
      <c r="H218" s="37"/>
    </row>
    <row r="219" spans="1:8" ht="15.75" customHeight="1">
      <c r="A219" s="81"/>
      <c r="B219" s="81"/>
      <c r="D219" s="37"/>
      <c r="E219" s="37"/>
      <c r="F219" s="37"/>
      <c r="G219" s="37"/>
      <c r="H219" s="37"/>
    </row>
    <row r="220" spans="1:8" ht="15.75" customHeight="1">
      <c r="A220" s="81"/>
      <c r="B220" s="81"/>
      <c r="D220" s="37"/>
      <c r="E220" s="37"/>
      <c r="F220" s="37"/>
      <c r="G220" s="37"/>
      <c r="H220" s="37"/>
    </row>
    <row r="221" spans="1:8" ht="15.75" customHeight="1">
      <c r="A221" s="81"/>
      <c r="B221" s="81"/>
      <c r="D221" s="37"/>
      <c r="E221" s="37"/>
      <c r="F221" s="37"/>
      <c r="G221" s="37"/>
      <c r="H221" s="37"/>
    </row>
    <row r="222" spans="1:8" ht="15.75" customHeight="1">
      <c r="A222" s="81"/>
      <c r="B222" s="81"/>
      <c r="D222" s="37"/>
      <c r="E222" s="37"/>
      <c r="F222" s="37"/>
      <c r="G222" s="37"/>
      <c r="H222" s="37"/>
    </row>
    <row r="223" spans="1:8" ht="15.75" customHeight="1">
      <c r="A223" s="81"/>
      <c r="B223" s="81"/>
      <c r="D223" s="37"/>
      <c r="E223" s="37"/>
      <c r="F223" s="37"/>
      <c r="G223" s="37"/>
      <c r="H223" s="37"/>
    </row>
    <row r="224" spans="1:8" ht="15.75" customHeight="1">
      <c r="A224" s="81"/>
      <c r="B224" s="81"/>
      <c r="D224" s="37"/>
      <c r="E224" s="37"/>
      <c r="F224" s="37"/>
      <c r="G224" s="37"/>
      <c r="H224" s="37"/>
    </row>
    <row r="225" spans="1:8" ht="15.75" customHeight="1">
      <c r="A225" s="81"/>
      <c r="B225" s="81"/>
      <c r="D225" s="37"/>
      <c r="E225" s="37"/>
      <c r="F225" s="37"/>
      <c r="G225" s="37"/>
      <c r="H225" s="37"/>
    </row>
    <row r="226" spans="1:8" ht="15.75" customHeight="1">
      <c r="A226" s="81"/>
      <c r="B226" s="81"/>
      <c r="D226" s="37"/>
      <c r="E226" s="37"/>
      <c r="F226" s="37"/>
      <c r="G226" s="37"/>
      <c r="H226" s="37"/>
    </row>
    <row r="227" spans="1:8" ht="15.75" customHeight="1">
      <c r="A227" s="81"/>
      <c r="B227" s="81"/>
      <c r="D227" s="37"/>
      <c r="E227" s="37"/>
      <c r="F227" s="37"/>
      <c r="G227" s="37"/>
      <c r="H227" s="37"/>
    </row>
    <row r="228" spans="1:8" ht="15.75" customHeight="1">
      <c r="A228" s="81"/>
      <c r="B228" s="81"/>
      <c r="D228" s="37"/>
      <c r="E228" s="37"/>
      <c r="F228" s="37"/>
      <c r="G228" s="37"/>
      <c r="H228" s="37"/>
    </row>
    <row r="229" spans="1:8" ht="15.75" customHeight="1">
      <c r="A229" s="81"/>
      <c r="B229" s="81"/>
      <c r="D229" s="37"/>
      <c r="E229" s="37"/>
      <c r="F229" s="37"/>
      <c r="G229" s="37"/>
      <c r="H229" s="37"/>
    </row>
    <row r="230" spans="1:8" ht="15.75" customHeight="1">
      <c r="A230" s="81"/>
      <c r="B230" s="81"/>
      <c r="D230" s="37"/>
      <c r="E230" s="37"/>
      <c r="F230" s="37"/>
      <c r="G230" s="37"/>
      <c r="H230" s="37"/>
    </row>
    <row r="231" spans="1:8" ht="15.75" customHeight="1">
      <c r="A231" s="81"/>
      <c r="B231" s="81"/>
      <c r="D231" s="37"/>
      <c r="E231" s="37"/>
      <c r="F231" s="37"/>
      <c r="G231" s="37"/>
      <c r="H231" s="37"/>
    </row>
    <row r="232" spans="1:8" ht="15.75" customHeight="1">
      <c r="A232" s="81"/>
      <c r="B232" s="81"/>
      <c r="D232" s="37"/>
      <c r="E232" s="37"/>
      <c r="F232" s="37"/>
      <c r="G232" s="37"/>
      <c r="H232" s="37"/>
    </row>
    <row r="233" spans="1:8" ht="15.75" customHeight="1">
      <c r="A233" s="81"/>
      <c r="B233" s="81"/>
      <c r="D233" s="37"/>
      <c r="E233" s="37"/>
      <c r="F233" s="37"/>
      <c r="G233" s="37"/>
      <c r="H233" s="37"/>
    </row>
    <row r="234" spans="1:8" ht="15.75" customHeight="1">
      <c r="A234" s="81"/>
      <c r="B234" s="81"/>
      <c r="D234" s="37"/>
      <c r="E234" s="37"/>
      <c r="F234" s="37"/>
      <c r="G234" s="37"/>
      <c r="H234" s="37"/>
    </row>
    <row r="235" spans="1:8" ht="15.75" customHeight="1">
      <c r="A235" s="81"/>
      <c r="B235" s="81"/>
      <c r="D235" s="37"/>
      <c r="E235" s="37"/>
      <c r="F235" s="37"/>
      <c r="G235" s="37"/>
      <c r="H235" s="37"/>
    </row>
    <row r="236" spans="1:8" ht="15.75" customHeight="1">
      <c r="A236" s="81"/>
      <c r="B236" s="81"/>
      <c r="D236" s="37"/>
      <c r="E236" s="37"/>
      <c r="F236" s="37"/>
      <c r="G236" s="37"/>
      <c r="H236" s="37"/>
    </row>
    <row r="237" spans="1:8" ht="15.75" customHeight="1">
      <c r="A237" s="81"/>
      <c r="B237" s="81"/>
      <c r="D237" s="37"/>
      <c r="E237" s="37"/>
      <c r="F237" s="37"/>
      <c r="G237" s="37"/>
      <c r="H237" s="37"/>
    </row>
    <row r="238" spans="1:8" ht="15.75" customHeight="1">
      <c r="A238" s="81"/>
      <c r="B238" s="81"/>
      <c r="D238" s="37"/>
      <c r="E238" s="37"/>
      <c r="F238" s="37"/>
      <c r="G238" s="37"/>
      <c r="H238" s="37"/>
    </row>
    <row r="239" spans="1:8" ht="15.75" customHeight="1">
      <c r="A239" s="81"/>
      <c r="B239" s="81"/>
      <c r="D239" s="37"/>
      <c r="E239" s="37"/>
      <c r="F239" s="37"/>
      <c r="G239" s="37"/>
      <c r="H239" s="37"/>
    </row>
    <row r="240" spans="1:8" ht="15.75" customHeight="1">
      <c r="A240" s="81"/>
      <c r="B240" s="81"/>
      <c r="D240" s="37"/>
      <c r="E240" s="37"/>
      <c r="F240" s="37"/>
      <c r="G240" s="37"/>
      <c r="H240" s="37"/>
    </row>
    <row r="241" spans="1:8" ht="15.75" customHeight="1">
      <c r="A241" s="81"/>
      <c r="B241" s="81"/>
      <c r="D241" s="37"/>
      <c r="E241" s="37"/>
      <c r="F241" s="37"/>
      <c r="G241" s="37"/>
      <c r="H241" s="37"/>
    </row>
    <row r="242" spans="1:8" ht="15.75" customHeight="1">
      <c r="A242" s="81"/>
      <c r="B242" s="81"/>
      <c r="D242" s="37"/>
      <c r="E242" s="37"/>
      <c r="F242" s="37"/>
      <c r="G242" s="37"/>
      <c r="H242" s="37"/>
    </row>
    <row r="243" spans="1:8" ht="15.75" customHeight="1">
      <c r="B243" s="81"/>
    </row>
    <row r="244" spans="1:8" ht="15.75" customHeight="1"/>
    <row r="245" spans="1:8" ht="15.75" customHeight="1"/>
    <row r="246" spans="1:8" ht="15.75" customHeight="1"/>
    <row r="247" spans="1:8" ht="15.75" customHeight="1"/>
    <row r="248" spans="1:8" ht="15.75" customHeight="1"/>
    <row r="249" spans="1:8" ht="15.75" customHeight="1"/>
    <row r="250" spans="1:8" ht="15.75" customHeight="1"/>
    <row r="251" spans="1:8" ht="15.75" customHeight="1"/>
    <row r="252" spans="1:8" ht="15.75" customHeight="1"/>
    <row r="253" spans="1:8" ht="15.75" customHeight="1"/>
    <row r="254" spans="1:8" ht="15.75" customHeight="1"/>
    <row r="255" spans="1:8" ht="15.75" customHeight="1"/>
    <row r="256" spans="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J32" xr:uid="{00000000-0009-0000-0000-000009000000}"/>
  <mergeCells count="17">
    <mergeCell ref="A5:K5"/>
    <mergeCell ref="A6:H6"/>
    <mergeCell ref="A41:J41"/>
    <mergeCell ref="A42:J42"/>
    <mergeCell ref="A43:J43"/>
    <mergeCell ref="A36:C37"/>
    <mergeCell ref="I36:J36"/>
    <mergeCell ref="A38:C38"/>
    <mergeCell ref="D38:J38"/>
    <mergeCell ref="A39:J39"/>
    <mergeCell ref="A40:J40"/>
    <mergeCell ref="C1:I3"/>
    <mergeCell ref="J1:K1"/>
    <mergeCell ref="J2:K2"/>
    <mergeCell ref="J3:K3"/>
    <mergeCell ref="B4:K4"/>
    <mergeCell ref="A1:B3"/>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A1000"/>
  <sheetViews>
    <sheetView workbookViewId="0">
      <selection sqref="A1:A3"/>
    </sheetView>
  </sheetViews>
  <sheetFormatPr baseColWidth="10" defaultColWidth="14.42578125" defaultRowHeight="15" customHeight="1"/>
  <cols>
    <col min="1" max="1" width="24.85546875" customWidth="1"/>
    <col min="2" max="2" width="20" customWidth="1"/>
    <col min="3" max="3" width="8.42578125" customWidth="1"/>
    <col min="4" max="4" width="16.28515625" customWidth="1"/>
    <col min="5" max="5" width="16.85546875" customWidth="1"/>
    <col min="6" max="10" width="16.5703125" customWidth="1"/>
    <col min="11" max="11" width="28" customWidth="1"/>
    <col min="12" max="12" width="16.5703125" customWidth="1"/>
  </cols>
  <sheetData>
    <row r="1" spans="1:14" ht="21" customHeight="1">
      <c r="A1" s="127"/>
      <c r="B1" s="129" t="s">
        <v>32</v>
      </c>
      <c r="C1" s="130"/>
      <c r="D1" s="130"/>
      <c r="E1" s="130"/>
      <c r="F1" s="130"/>
      <c r="G1" s="130"/>
      <c r="H1" s="130"/>
      <c r="I1" s="130"/>
      <c r="J1" s="131"/>
      <c r="K1" s="137" t="s">
        <v>33</v>
      </c>
      <c r="L1" s="138"/>
    </row>
    <row r="2" spans="1:14" ht="21" customHeight="1">
      <c r="A2" s="128"/>
      <c r="B2" s="132"/>
      <c r="C2" s="128"/>
      <c r="D2" s="128"/>
      <c r="E2" s="128"/>
      <c r="F2" s="128"/>
      <c r="G2" s="128"/>
      <c r="H2" s="128"/>
      <c r="I2" s="128"/>
      <c r="J2" s="133"/>
      <c r="K2" s="137" t="s">
        <v>34</v>
      </c>
      <c r="L2" s="138"/>
    </row>
    <row r="3" spans="1:14" ht="21" customHeight="1">
      <c r="A3" s="135"/>
      <c r="B3" s="134"/>
      <c r="C3" s="135"/>
      <c r="D3" s="135"/>
      <c r="E3" s="135"/>
      <c r="F3" s="135"/>
      <c r="G3" s="135"/>
      <c r="H3" s="135"/>
      <c r="I3" s="135"/>
      <c r="J3" s="136"/>
      <c r="K3" s="137" t="s">
        <v>35</v>
      </c>
      <c r="L3" s="138"/>
    </row>
    <row r="4" spans="1:14" ht="31.5" customHeight="1">
      <c r="A4" s="1" t="s">
        <v>4</v>
      </c>
      <c r="B4" s="148" t="s">
        <v>5</v>
      </c>
      <c r="C4" s="140"/>
      <c r="D4" s="140"/>
      <c r="E4" s="140"/>
      <c r="F4" s="140"/>
      <c r="G4" s="140"/>
      <c r="H4" s="140"/>
      <c r="I4" s="140"/>
      <c r="J4" s="140"/>
      <c r="K4" s="140"/>
      <c r="L4" s="138"/>
    </row>
    <row r="5" spans="1:14" ht="31.5" customHeight="1">
      <c r="A5" s="141" t="s">
        <v>36</v>
      </c>
      <c r="B5" s="140"/>
      <c r="C5" s="140"/>
      <c r="D5" s="140"/>
      <c r="E5" s="140"/>
      <c r="F5" s="140"/>
      <c r="G5" s="140"/>
      <c r="H5" s="140"/>
      <c r="I5" s="140"/>
      <c r="J5" s="140"/>
      <c r="K5" s="140"/>
      <c r="L5" s="138"/>
    </row>
    <row r="6" spans="1:14" ht="31.5" customHeight="1">
      <c r="A6" s="141" t="s">
        <v>7</v>
      </c>
      <c r="B6" s="140"/>
      <c r="C6" s="140"/>
      <c r="D6" s="140"/>
      <c r="E6" s="140"/>
      <c r="F6" s="140"/>
      <c r="G6" s="140"/>
      <c r="H6" s="140"/>
      <c r="I6" s="140"/>
      <c r="J6" s="138"/>
      <c r="K6" s="38" t="s">
        <v>8</v>
      </c>
      <c r="L6" s="39" t="s">
        <v>37</v>
      </c>
    </row>
    <row r="7" spans="1:14" ht="53.25" customHeight="1">
      <c r="A7" s="40" t="s">
        <v>11</v>
      </c>
      <c r="B7" s="41" t="s">
        <v>12</v>
      </c>
      <c r="C7" s="40" t="s">
        <v>38</v>
      </c>
      <c r="D7" s="40" t="s">
        <v>39</v>
      </c>
      <c r="E7" s="40" t="s">
        <v>40</v>
      </c>
      <c r="F7" s="40" t="s">
        <v>41</v>
      </c>
      <c r="G7" s="40" t="s">
        <v>42</v>
      </c>
      <c r="H7" s="40" t="s">
        <v>43</v>
      </c>
      <c r="I7" s="40" t="s">
        <v>44</v>
      </c>
      <c r="J7" s="40" t="s">
        <v>45</v>
      </c>
      <c r="K7" s="40" t="s">
        <v>46</v>
      </c>
      <c r="L7" s="40" t="s">
        <v>47</v>
      </c>
      <c r="M7" s="106" t="s">
        <v>21</v>
      </c>
    </row>
    <row r="8" spans="1:14">
      <c r="A8" s="120"/>
      <c r="B8" s="85"/>
      <c r="C8" s="20"/>
      <c r="D8" s="82"/>
      <c r="E8" s="82"/>
      <c r="F8" s="82"/>
      <c r="G8" s="82"/>
      <c r="H8" s="82"/>
      <c r="I8" s="82"/>
      <c r="J8" s="9"/>
      <c r="K8" s="9"/>
      <c r="L8" s="52"/>
      <c r="M8" s="82"/>
    </row>
    <row r="9" spans="1:14">
      <c r="A9" s="120"/>
      <c r="B9" s="68"/>
      <c r="C9" s="14"/>
      <c r="D9" s="82"/>
      <c r="E9" s="82"/>
      <c r="F9" s="82"/>
      <c r="G9" s="82"/>
      <c r="H9" s="82"/>
      <c r="I9" s="82"/>
      <c r="J9" s="9"/>
      <c r="K9" s="9"/>
      <c r="L9" s="9"/>
      <c r="M9" s="82"/>
    </row>
    <row r="10" spans="1:14">
      <c r="A10" s="120"/>
      <c r="B10" s="68"/>
      <c r="C10" s="14"/>
      <c r="D10" s="82"/>
      <c r="E10" s="82"/>
      <c r="F10" s="82"/>
      <c r="G10" s="82"/>
      <c r="H10" s="82"/>
      <c r="I10" s="82"/>
      <c r="J10" s="9"/>
      <c r="K10" s="9"/>
      <c r="L10" s="9"/>
      <c r="M10" s="82"/>
    </row>
    <row r="11" spans="1:14">
      <c r="A11" s="120"/>
      <c r="B11" s="9"/>
      <c r="C11" s="14"/>
      <c r="D11" s="82"/>
      <c r="E11" s="82"/>
      <c r="F11" s="82"/>
      <c r="G11" s="82"/>
      <c r="H11" s="82"/>
      <c r="I11" s="82"/>
      <c r="J11" s="9"/>
      <c r="K11" s="10"/>
      <c r="L11" s="125"/>
      <c r="M11" s="82"/>
      <c r="N11" s="97"/>
    </row>
    <row r="12" spans="1:14">
      <c r="A12" s="120"/>
      <c r="B12" s="109"/>
      <c r="C12" s="9"/>
      <c r="D12" s="82"/>
      <c r="E12" s="82"/>
      <c r="F12" s="82"/>
      <c r="G12" s="82"/>
      <c r="H12" s="82"/>
      <c r="I12" s="109"/>
      <c r="J12" s="109"/>
      <c r="K12" s="126"/>
      <c r="L12" s="53"/>
      <c r="M12" s="82"/>
    </row>
    <row r="13" spans="1:14">
      <c r="A13" s="120"/>
      <c r="B13" s="109"/>
      <c r="C13" s="9"/>
      <c r="D13" s="82"/>
      <c r="E13" s="82"/>
      <c r="F13" s="82"/>
      <c r="G13" s="82"/>
      <c r="H13" s="82"/>
      <c r="I13" s="53"/>
      <c r="J13" s="53"/>
      <c r="K13" s="108"/>
      <c r="L13" s="53"/>
      <c r="M13" s="52"/>
    </row>
    <row r="14" spans="1:14">
      <c r="A14" s="120"/>
      <c r="B14" s="9"/>
      <c r="C14" s="110"/>
      <c r="D14" s="82"/>
      <c r="E14" s="82"/>
      <c r="F14" s="82"/>
      <c r="G14" s="82"/>
      <c r="H14" s="82"/>
      <c r="I14" s="53"/>
      <c r="J14" s="53"/>
      <c r="K14" s="53"/>
      <c r="L14" s="57"/>
      <c r="M14" s="52"/>
    </row>
    <row r="15" spans="1:14">
      <c r="A15" s="120"/>
      <c r="B15" s="9"/>
      <c r="C15" s="110"/>
      <c r="D15" s="82"/>
      <c r="E15" s="82"/>
      <c r="F15" s="82"/>
      <c r="G15" s="82"/>
      <c r="H15" s="82"/>
      <c r="I15" s="53"/>
      <c r="J15" s="53"/>
      <c r="K15" s="53"/>
      <c r="L15" s="53"/>
      <c r="M15" s="52"/>
    </row>
    <row r="16" spans="1:14">
      <c r="A16" s="120"/>
      <c r="B16" s="9"/>
      <c r="C16" s="110"/>
      <c r="D16" s="53"/>
      <c r="E16" s="53"/>
      <c r="F16" s="53"/>
      <c r="G16" s="53"/>
      <c r="H16" s="53"/>
      <c r="I16" s="53"/>
      <c r="J16" s="53"/>
      <c r="K16" s="53"/>
      <c r="L16" s="53"/>
      <c r="M16" s="52"/>
    </row>
    <row r="17" spans="1:27">
      <c r="A17" s="120"/>
      <c r="B17" s="9"/>
      <c r="C17" s="110"/>
      <c r="D17" s="53"/>
      <c r="E17" s="53"/>
      <c r="F17" s="53"/>
      <c r="G17" s="53"/>
      <c r="H17" s="53"/>
      <c r="I17" s="53"/>
      <c r="J17" s="53"/>
      <c r="K17" s="53"/>
      <c r="L17" s="53"/>
      <c r="M17" s="52"/>
    </row>
    <row r="18" spans="1:27">
      <c r="A18" s="67"/>
      <c r="B18" s="9"/>
      <c r="C18" s="110"/>
      <c r="D18" s="53"/>
      <c r="E18" s="53"/>
      <c r="F18" s="53"/>
      <c r="G18" s="53"/>
      <c r="H18" s="53"/>
      <c r="I18" s="53"/>
      <c r="J18" s="53"/>
      <c r="K18" s="53"/>
      <c r="L18" s="53"/>
      <c r="M18" s="52"/>
    </row>
    <row r="19" spans="1:27">
      <c r="A19" s="67"/>
      <c r="B19" s="9"/>
      <c r="C19" s="110"/>
      <c r="D19" s="53"/>
      <c r="E19" s="53"/>
      <c r="F19" s="53"/>
      <c r="G19" s="53"/>
      <c r="H19" s="53"/>
      <c r="I19" s="53"/>
      <c r="J19" s="53"/>
      <c r="K19" s="53"/>
      <c r="L19" s="53"/>
      <c r="M19" s="52"/>
      <c r="N19" s="37"/>
      <c r="O19" s="37"/>
      <c r="P19" s="37"/>
      <c r="Q19" s="37"/>
      <c r="R19" s="37"/>
      <c r="S19" s="37"/>
      <c r="T19" s="37"/>
      <c r="U19" s="37"/>
      <c r="V19" s="37"/>
      <c r="W19" s="37"/>
      <c r="X19" s="37"/>
      <c r="Y19" s="37"/>
      <c r="Z19" s="37"/>
      <c r="AA19" s="37"/>
    </row>
    <row r="20" spans="1:27">
      <c r="A20" s="67"/>
      <c r="B20" s="9"/>
      <c r="C20" s="110"/>
      <c r="D20" s="53"/>
      <c r="E20" s="53"/>
      <c r="F20" s="53"/>
      <c r="G20" s="53"/>
      <c r="H20" s="53"/>
      <c r="I20" s="53"/>
      <c r="J20" s="53"/>
      <c r="K20" s="53"/>
      <c r="L20" s="53"/>
      <c r="M20" s="52"/>
      <c r="N20" s="37"/>
      <c r="O20" s="37"/>
      <c r="P20" s="37"/>
      <c r="Q20" s="37"/>
      <c r="R20" s="37"/>
      <c r="S20" s="37"/>
      <c r="T20" s="37"/>
      <c r="U20" s="37"/>
      <c r="V20" s="37"/>
      <c r="W20" s="37"/>
      <c r="X20" s="37"/>
      <c r="Y20" s="37"/>
      <c r="Z20" s="37"/>
      <c r="AA20" s="37"/>
    </row>
    <row r="21" spans="1:27" ht="15.75" customHeight="1">
      <c r="A21" s="67"/>
      <c r="B21" s="9"/>
      <c r="C21" s="110"/>
      <c r="D21" s="53"/>
      <c r="E21" s="53"/>
      <c r="F21" s="53"/>
      <c r="G21" s="53"/>
      <c r="H21" s="53"/>
      <c r="I21" s="53"/>
      <c r="J21" s="53"/>
      <c r="K21" s="53"/>
      <c r="L21" s="53"/>
      <c r="M21" s="52"/>
      <c r="N21" s="37"/>
      <c r="O21" s="37"/>
      <c r="P21" s="37"/>
      <c r="Q21" s="37"/>
      <c r="R21" s="37"/>
      <c r="S21" s="37"/>
      <c r="T21" s="37"/>
      <c r="U21" s="37"/>
      <c r="V21" s="37"/>
      <c r="W21" s="37"/>
      <c r="X21" s="37"/>
      <c r="Y21" s="37"/>
      <c r="Z21" s="37"/>
      <c r="AA21" s="37"/>
    </row>
    <row r="22" spans="1:27" ht="15.75" customHeight="1">
      <c r="A22" s="67"/>
      <c r="B22" s="9"/>
      <c r="C22" s="110"/>
      <c r="D22" s="53"/>
      <c r="E22" s="53"/>
      <c r="F22" s="53"/>
      <c r="G22" s="53"/>
      <c r="H22" s="53"/>
      <c r="I22" s="53"/>
      <c r="J22" s="53"/>
      <c r="K22" s="53"/>
      <c r="L22" s="53"/>
      <c r="M22" s="52"/>
      <c r="N22" s="37"/>
      <c r="O22" s="37"/>
      <c r="P22" s="37"/>
      <c r="Q22" s="37"/>
      <c r="R22" s="37"/>
      <c r="S22" s="37"/>
      <c r="T22" s="37"/>
      <c r="U22" s="37"/>
      <c r="V22" s="37"/>
      <c r="W22" s="37"/>
      <c r="X22" s="37"/>
      <c r="Y22" s="37"/>
      <c r="Z22" s="37"/>
      <c r="AA22" s="37"/>
    </row>
    <row r="23" spans="1:27" ht="15.75" customHeight="1">
      <c r="A23" s="67"/>
      <c r="B23" s="9"/>
      <c r="C23" s="110"/>
      <c r="D23" s="53"/>
      <c r="E23" s="53"/>
      <c r="F23" s="53"/>
      <c r="G23" s="53"/>
      <c r="H23" s="53"/>
      <c r="I23" s="53"/>
      <c r="J23" s="53"/>
      <c r="K23" s="53"/>
      <c r="L23" s="53"/>
      <c r="M23" s="52"/>
    </row>
    <row r="24" spans="1:27" ht="15.75" customHeight="1">
      <c r="A24" s="67"/>
      <c r="B24" s="9"/>
      <c r="C24" s="110"/>
      <c r="D24" s="53"/>
      <c r="E24" s="53"/>
      <c r="F24" s="53"/>
      <c r="G24" s="53"/>
      <c r="H24" s="53"/>
      <c r="I24" s="53"/>
      <c r="J24" s="53"/>
      <c r="K24" s="53"/>
      <c r="L24" s="53"/>
      <c r="M24" s="52"/>
    </row>
    <row r="25" spans="1:27" ht="15.75" customHeight="1">
      <c r="A25" s="101"/>
      <c r="B25" s="104"/>
      <c r="C25" s="59"/>
      <c r="D25" s="53"/>
      <c r="E25" s="53"/>
      <c r="F25" s="53"/>
      <c r="G25" s="53"/>
      <c r="H25" s="53"/>
      <c r="I25" s="53"/>
      <c r="J25" s="53"/>
      <c r="K25" s="53"/>
      <c r="L25" s="53"/>
      <c r="M25" s="52"/>
    </row>
    <row r="26" spans="1:27" ht="15.75" customHeight="1">
      <c r="A26" s="150">
        <f>SUM(C8:C25)</f>
        <v>0</v>
      </c>
      <c r="B26" s="130"/>
      <c r="C26" s="131"/>
      <c r="D26" s="60">
        <f t="shared" ref="D26:I26" si="0">(COUNTIF(D8:D25,"SI")*1+COUNTIF(D8:D25,"NO")*0+COUNTIF(D8:D25,"NA")*0)</f>
        <v>0</v>
      </c>
      <c r="E26" s="60">
        <f t="shared" si="0"/>
        <v>0</v>
      </c>
      <c r="F26" s="60">
        <f t="shared" si="0"/>
        <v>0</v>
      </c>
      <c r="G26" s="60">
        <f t="shared" si="0"/>
        <v>0</v>
      </c>
      <c r="H26" s="60">
        <f t="shared" si="0"/>
        <v>0</v>
      </c>
      <c r="I26" s="60">
        <f t="shared" si="0"/>
        <v>0</v>
      </c>
      <c r="J26" s="151"/>
      <c r="K26" s="130"/>
      <c r="L26" s="131"/>
    </row>
    <row r="27" spans="1:27" ht="15.75" customHeight="1">
      <c r="A27" s="134"/>
      <c r="B27" s="135"/>
      <c r="C27" s="136"/>
      <c r="D27" s="61" t="e">
        <f>(D26/A26)*100</f>
        <v>#DIV/0!</v>
      </c>
      <c r="E27" s="61" t="e">
        <f>(E26/A26)*100</f>
        <v>#DIV/0!</v>
      </c>
      <c r="F27" s="61" t="e">
        <f>(F26/A26)*100</f>
        <v>#DIV/0!</v>
      </c>
      <c r="G27" s="61" t="e">
        <f>(G26/A26)*100</f>
        <v>#DIV/0!</v>
      </c>
      <c r="H27" s="61" t="e">
        <f>(H26/A26)*100</f>
        <v>#DIV/0!</v>
      </c>
      <c r="I27" s="61" t="e">
        <f>(I26/A26)*100</f>
        <v>#DIV/0!</v>
      </c>
      <c r="J27" s="132"/>
      <c r="K27" s="128"/>
      <c r="L27" s="133"/>
    </row>
    <row r="28" spans="1:27" ht="36" customHeight="1">
      <c r="A28" s="152" t="s">
        <v>26</v>
      </c>
      <c r="B28" s="140"/>
      <c r="C28" s="138"/>
      <c r="D28" s="153" t="e">
        <f>SUM(D27+E27+F27+G27+H27+I27)/6</f>
        <v>#DIV/0!</v>
      </c>
      <c r="E28" s="140"/>
      <c r="F28" s="140"/>
      <c r="G28" s="140"/>
      <c r="H28" s="140"/>
      <c r="I28" s="138"/>
      <c r="J28" s="134"/>
      <c r="K28" s="135"/>
      <c r="L28" s="136"/>
    </row>
    <row r="29" spans="1:27" ht="16.5" customHeight="1">
      <c r="A29" s="149" t="s">
        <v>49</v>
      </c>
      <c r="B29" s="140"/>
      <c r="C29" s="140"/>
      <c r="D29" s="140"/>
      <c r="E29" s="140"/>
      <c r="F29" s="140"/>
      <c r="G29" s="140"/>
      <c r="H29" s="140"/>
      <c r="I29" s="140"/>
      <c r="J29" s="140"/>
      <c r="K29" s="140"/>
      <c r="L29" s="138"/>
    </row>
    <row r="30" spans="1:27" ht="24" customHeight="1">
      <c r="A30" s="147" t="s">
        <v>50</v>
      </c>
      <c r="B30" s="140"/>
      <c r="C30" s="140"/>
      <c r="D30" s="140"/>
      <c r="E30" s="140"/>
      <c r="F30" s="140"/>
      <c r="G30" s="140"/>
      <c r="H30" s="140"/>
      <c r="I30" s="140"/>
      <c r="J30" s="140"/>
      <c r="K30" s="140"/>
      <c r="L30" s="138"/>
    </row>
    <row r="31" spans="1:27" ht="21" customHeight="1">
      <c r="A31" s="142" t="s">
        <v>51</v>
      </c>
      <c r="B31" s="140"/>
      <c r="C31" s="140"/>
      <c r="D31" s="140"/>
      <c r="E31" s="140"/>
      <c r="F31" s="140"/>
      <c r="G31" s="140"/>
      <c r="H31" s="140"/>
      <c r="I31" s="140"/>
      <c r="J31" s="140"/>
      <c r="K31" s="140"/>
      <c r="L31" s="138"/>
    </row>
    <row r="32" spans="1:27" ht="15.75" customHeight="1">
      <c r="A32" s="149" t="s">
        <v>52</v>
      </c>
      <c r="B32" s="140"/>
      <c r="C32" s="140"/>
      <c r="D32" s="140"/>
      <c r="E32" s="140"/>
      <c r="F32" s="140"/>
      <c r="G32" s="140"/>
      <c r="H32" s="140"/>
      <c r="I32" s="140"/>
      <c r="J32" s="140"/>
      <c r="K32" s="140"/>
      <c r="L32" s="138"/>
    </row>
    <row r="33" spans="1:12" ht="15.75" customHeight="1">
      <c r="A33" s="149" t="s">
        <v>53</v>
      </c>
      <c r="B33" s="140"/>
      <c r="C33" s="140"/>
      <c r="D33" s="140"/>
      <c r="E33" s="140"/>
      <c r="F33" s="140"/>
      <c r="G33" s="140"/>
      <c r="H33" s="140"/>
      <c r="I33" s="140"/>
      <c r="J33" s="140"/>
      <c r="K33" s="140"/>
      <c r="L33" s="138"/>
    </row>
    <row r="34" spans="1:12" ht="15.75" customHeight="1">
      <c r="A34" s="149" t="s">
        <v>54</v>
      </c>
      <c r="B34" s="140"/>
      <c r="C34" s="140"/>
      <c r="D34" s="140"/>
      <c r="E34" s="140"/>
      <c r="F34" s="140"/>
      <c r="G34" s="140"/>
      <c r="H34" s="140"/>
      <c r="I34" s="140"/>
      <c r="J34" s="140"/>
      <c r="K34" s="140"/>
      <c r="L34" s="138"/>
    </row>
    <row r="35" spans="1:12" ht="15.75" customHeight="1">
      <c r="D35" s="37"/>
      <c r="E35" s="37"/>
      <c r="F35" s="37"/>
      <c r="G35" s="37"/>
      <c r="H35" s="37"/>
      <c r="I35" s="37"/>
      <c r="J35" s="37"/>
      <c r="K35" s="111" t="s">
        <v>76</v>
      </c>
      <c r="L35" s="37"/>
    </row>
    <row r="36" spans="1:12" ht="15.75" customHeight="1">
      <c r="D36" s="37"/>
      <c r="E36" s="37"/>
      <c r="F36" s="37"/>
      <c r="G36" s="37"/>
      <c r="H36" s="37"/>
      <c r="I36" s="37"/>
      <c r="J36" s="37"/>
      <c r="K36" s="37"/>
      <c r="L36" s="37"/>
    </row>
    <row r="37" spans="1:12" ht="15.75" customHeight="1">
      <c r="D37" s="37"/>
      <c r="E37" s="37"/>
      <c r="F37" s="37"/>
      <c r="G37" s="37"/>
      <c r="H37" s="37"/>
      <c r="I37" s="37"/>
      <c r="J37" s="37"/>
      <c r="K37" s="37"/>
      <c r="L37" s="37"/>
    </row>
    <row r="38" spans="1:12" ht="15.75" customHeight="1">
      <c r="D38" s="37"/>
      <c r="E38" s="37"/>
      <c r="F38" s="37"/>
      <c r="G38" s="37"/>
      <c r="H38" s="37"/>
      <c r="I38" s="37"/>
      <c r="J38" s="37"/>
      <c r="K38" s="37"/>
      <c r="L38" s="37"/>
    </row>
    <row r="39" spans="1:12" ht="15.75" customHeight="1">
      <c r="D39" s="37"/>
      <c r="E39" s="37"/>
      <c r="F39" s="37"/>
      <c r="G39" s="37"/>
      <c r="H39" s="37"/>
      <c r="I39" s="37"/>
      <c r="J39" s="37"/>
      <c r="K39" s="37"/>
      <c r="L39" s="37"/>
    </row>
    <row r="40" spans="1:12" ht="15.75" customHeight="1">
      <c r="D40" s="37"/>
      <c r="E40" s="37"/>
      <c r="F40" s="37"/>
      <c r="G40" s="37"/>
      <c r="H40" s="37"/>
      <c r="I40" s="37"/>
      <c r="J40" s="37"/>
      <c r="K40" s="37"/>
      <c r="L40" s="37"/>
    </row>
    <row r="41" spans="1:12" ht="15.75" customHeight="1">
      <c r="D41" s="37"/>
      <c r="E41" s="37"/>
      <c r="F41" s="37"/>
      <c r="G41" s="37"/>
      <c r="H41" s="37"/>
      <c r="I41" s="37"/>
      <c r="J41" s="37"/>
      <c r="K41" s="37"/>
      <c r="L41" s="37"/>
    </row>
    <row r="42" spans="1:12" ht="15.75" customHeight="1">
      <c r="D42" s="37"/>
      <c r="E42" s="37"/>
      <c r="F42" s="37"/>
      <c r="G42" s="37"/>
      <c r="H42" s="37"/>
      <c r="I42" s="37"/>
      <c r="J42" s="37"/>
      <c r="K42" s="37"/>
      <c r="L42" s="37"/>
    </row>
    <row r="43" spans="1:12" ht="15.75" customHeight="1">
      <c r="D43" s="37"/>
      <c r="E43" s="37"/>
      <c r="F43" s="37"/>
      <c r="G43" s="37"/>
      <c r="H43" s="37"/>
      <c r="I43" s="37"/>
      <c r="J43" s="37"/>
      <c r="K43" s="37"/>
      <c r="L43" s="37"/>
    </row>
    <row r="44" spans="1:12" ht="15.75" customHeight="1">
      <c r="D44" s="37"/>
      <c r="E44" s="37"/>
      <c r="F44" s="37"/>
      <c r="G44" s="37"/>
      <c r="H44" s="37"/>
      <c r="I44" s="37"/>
      <c r="J44" s="37"/>
      <c r="K44" s="37"/>
      <c r="L44" s="37"/>
    </row>
    <row r="45" spans="1:12" ht="15.75" customHeight="1">
      <c r="D45" s="37"/>
      <c r="E45" s="37"/>
      <c r="F45" s="37"/>
      <c r="G45" s="37"/>
      <c r="H45" s="37"/>
      <c r="I45" s="37"/>
      <c r="J45" s="37"/>
      <c r="K45" s="37"/>
      <c r="L45" s="37"/>
    </row>
    <row r="46" spans="1:12" ht="15.75" customHeight="1">
      <c r="D46" s="37"/>
      <c r="E46" s="37"/>
      <c r="F46" s="37"/>
      <c r="G46" s="37"/>
      <c r="H46" s="37"/>
      <c r="I46" s="37"/>
      <c r="J46" s="37"/>
      <c r="K46" s="37"/>
      <c r="L46" s="37"/>
    </row>
    <row r="47" spans="1:12" ht="15.75" customHeight="1">
      <c r="D47" s="37"/>
      <c r="E47" s="37"/>
      <c r="F47" s="37"/>
      <c r="G47" s="37"/>
      <c r="H47" s="37"/>
      <c r="I47" s="37"/>
      <c r="J47" s="37"/>
      <c r="K47" s="37"/>
      <c r="L47" s="37"/>
    </row>
    <row r="48" spans="1:12" ht="15.75" customHeight="1">
      <c r="D48" s="37"/>
      <c r="E48" s="37"/>
      <c r="F48" s="37"/>
      <c r="G48" s="37"/>
      <c r="H48" s="37"/>
      <c r="I48" s="37"/>
      <c r="J48" s="37"/>
      <c r="K48" s="37"/>
      <c r="L48" s="37"/>
    </row>
    <row r="49" spans="4:12" ht="15.75" customHeight="1">
      <c r="D49" s="37"/>
      <c r="E49" s="37"/>
      <c r="F49" s="37"/>
      <c r="G49" s="37"/>
      <c r="H49" s="37"/>
      <c r="I49" s="37"/>
      <c r="J49" s="37"/>
      <c r="K49" s="37"/>
      <c r="L49" s="37"/>
    </row>
    <row r="50" spans="4:12" ht="15.75" customHeight="1">
      <c r="D50" s="37"/>
      <c r="E50" s="37"/>
      <c r="F50" s="37"/>
      <c r="G50" s="37"/>
      <c r="H50" s="37"/>
      <c r="I50" s="37"/>
      <c r="J50" s="37"/>
      <c r="K50" s="37"/>
      <c r="L50" s="37"/>
    </row>
    <row r="51" spans="4:12" ht="15.75" customHeight="1">
      <c r="D51" s="37"/>
      <c r="E51" s="37"/>
      <c r="F51" s="37"/>
      <c r="G51" s="37"/>
      <c r="H51" s="37"/>
      <c r="I51" s="37"/>
      <c r="J51" s="37"/>
      <c r="K51" s="37"/>
      <c r="L51" s="37"/>
    </row>
    <row r="52" spans="4:12" ht="15.75" customHeight="1">
      <c r="D52" s="37"/>
      <c r="E52" s="37"/>
      <c r="F52" s="37"/>
      <c r="G52" s="37"/>
      <c r="H52" s="37"/>
      <c r="I52" s="37"/>
      <c r="J52" s="37"/>
      <c r="K52" s="37"/>
      <c r="L52" s="37"/>
    </row>
    <row r="53" spans="4:12" ht="15.75" customHeight="1">
      <c r="D53" s="37"/>
      <c r="E53" s="37"/>
      <c r="F53" s="37"/>
      <c r="G53" s="37"/>
      <c r="H53" s="37"/>
      <c r="I53" s="37"/>
      <c r="J53" s="37"/>
      <c r="K53" s="37"/>
      <c r="L53" s="37"/>
    </row>
    <row r="54" spans="4:12" ht="15.75" customHeight="1">
      <c r="D54" s="37"/>
      <c r="E54" s="37"/>
      <c r="F54" s="37"/>
      <c r="G54" s="37"/>
      <c r="H54" s="37"/>
      <c r="I54" s="37"/>
      <c r="J54" s="37"/>
      <c r="K54" s="37"/>
      <c r="L54" s="37"/>
    </row>
    <row r="55" spans="4:12" ht="15.75" customHeight="1">
      <c r="D55" s="37"/>
      <c r="E55" s="37"/>
      <c r="F55" s="37"/>
      <c r="G55" s="37"/>
      <c r="H55" s="37"/>
      <c r="I55" s="37"/>
      <c r="J55" s="37"/>
      <c r="K55" s="37"/>
      <c r="L55" s="37"/>
    </row>
    <row r="56" spans="4:12" ht="15.75" customHeight="1">
      <c r="D56" s="37"/>
      <c r="E56" s="37"/>
      <c r="F56" s="37"/>
      <c r="G56" s="37"/>
      <c r="H56" s="37"/>
      <c r="I56" s="37"/>
      <c r="J56" s="37"/>
      <c r="K56" s="37"/>
      <c r="L56" s="37"/>
    </row>
    <row r="57" spans="4:12" ht="15.75" customHeight="1">
      <c r="D57" s="37"/>
      <c r="E57" s="37"/>
      <c r="F57" s="37"/>
      <c r="G57" s="37"/>
      <c r="H57" s="37"/>
      <c r="I57" s="37"/>
      <c r="J57" s="37"/>
      <c r="K57" s="37"/>
      <c r="L57" s="37"/>
    </row>
    <row r="58" spans="4:12" ht="15.75" customHeight="1">
      <c r="D58" s="37"/>
      <c r="E58" s="37"/>
      <c r="F58" s="37"/>
      <c r="G58" s="37"/>
      <c r="H58" s="37"/>
      <c r="I58" s="37"/>
      <c r="J58" s="37"/>
      <c r="K58" s="37"/>
      <c r="L58" s="37"/>
    </row>
    <row r="59" spans="4:12" ht="15.75" customHeight="1">
      <c r="D59" s="37"/>
      <c r="E59" s="37"/>
      <c r="F59" s="37"/>
      <c r="G59" s="37"/>
      <c r="H59" s="37"/>
      <c r="I59" s="37"/>
      <c r="J59" s="37"/>
      <c r="K59" s="37"/>
      <c r="L59" s="37"/>
    </row>
    <row r="60" spans="4:12" ht="15.75" customHeight="1">
      <c r="D60" s="37"/>
      <c r="E60" s="37"/>
      <c r="F60" s="37"/>
      <c r="G60" s="37"/>
      <c r="H60" s="37"/>
      <c r="I60" s="37"/>
      <c r="J60" s="37"/>
      <c r="K60" s="37"/>
      <c r="L60" s="37"/>
    </row>
    <row r="61" spans="4:12" ht="15.75" customHeight="1">
      <c r="D61" s="37"/>
      <c r="E61" s="37"/>
      <c r="F61" s="37"/>
      <c r="G61" s="37"/>
      <c r="H61" s="37"/>
      <c r="I61" s="37"/>
      <c r="J61" s="37"/>
      <c r="K61" s="37"/>
      <c r="L61" s="37"/>
    </row>
    <row r="62" spans="4:12" ht="15.75" customHeight="1">
      <c r="D62" s="37"/>
      <c r="E62" s="37"/>
      <c r="F62" s="37"/>
      <c r="G62" s="37"/>
      <c r="H62" s="37"/>
      <c r="I62" s="37"/>
      <c r="J62" s="37"/>
      <c r="K62" s="37"/>
      <c r="L62" s="37"/>
    </row>
    <row r="63" spans="4:12" ht="15.75" customHeight="1">
      <c r="D63" s="37"/>
      <c r="E63" s="37"/>
      <c r="F63" s="37"/>
      <c r="G63" s="37"/>
      <c r="H63" s="37"/>
      <c r="I63" s="37"/>
      <c r="J63" s="37"/>
      <c r="K63" s="37"/>
      <c r="L63" s="37"/>
    </row>
    <row r="64" spans="4:12" ht="15.75" customHeight="1">
      <c r="D64" s="37"/>
      <c r="E64" s="37"/>
      <c r="F64" s="37"/>
      <c r="G64" s="37"/>
      <c r="H64" s="37"/>
      <c r="I64" s="37"/>
      <c r="J64" s="37"/>
      <c r="K64" s="37"/>
      <c r="L64" s="37"/>
    </row>
    <row r="65" spans="4:12" ht="15.75" customHeight="1">
      <c r="D65" s="37"/>
      <c r="E65" s="37"/>
      <c r="F65" s="37"/>
      <c r="G65" s="37"/>
      <c r="H65" s="37"/>
      <c r="I65" s="37"/>
      <c r="J65" s="37"/>
      <c r="K65" s="37"/>
      <c r="L65" s="37"/>
    </row>
    <row r="66" spans="4:12" ht="15.75" customHeight="1">
      <c r="D66" s="37"/>
      <c r="E66" s="37"/>
      <c r="F66" s="37"/>
      <c r="G66" s="37"/>
      <c r="H66" s="37"/>
      <c r="I66" s="37"/>
      <c r="J66" s="37"/>
      <c r="K66" s="37"/>
      <c r="L66" s="37"/>
    </row>
    <row r="67" spans="4:12" ht="15.75" customHeight="1">
      <c r="D67" s="37"/>
      <c r="E67" s="37"/>
      <c r="F67" s="37"/>
      <c r="G67" s="37"/>
      <c r="H67" s="37"/>
      <c r="I67" s="37"/>
      <c r="J67" s="37"/>
      <c r="K67" s="37"/>
      <c r="L67" s="37"/>
    </row>
    <row r="68" spans="4:12" ht="15.75" customHeight="1">
      <c r="D68" s="37"/>
      <c r="E68" s="37"/>
      <c r="F68" s="37"/>
      <c r="G68" s="37"/>
      <c r="H68" s="37"/>
      <c r="I68" s="37"/>
      <c r="J68" s="37"/>
      <c r="K68" s="37"/>
      <c r="L68" s="37"/>
    </row>
    <row r="69" spans="4:12" ht="15.75" customHeight="1">
      <c r="D69" s="37"/>
      <c r="E69" s="37"/>
      <c r="F69" s="37"/>
      <c r="G69" s="37"/>
      <c r="H69" s="37"/>
      <c r="I69" s="37"/>
      <c r="J69" s="37"/>
      <c r="K69" s="37"/>
      <c r="L69" s="37"/>
    </row>
    <row r="70" spans="4:12" ht="15.75" customHeight="1">
      <c r="D70" s="37"/>
      <c r="E70" s="37"/>
      <c r="F70" s="37"/>
      <c r="G70" s="37"/>
      <c r="H70" s="37"/>
      <c r="I70" s="37"/>
      <c r="J70" s="37"/>
      <c r="K70" s="37"/>
      <c r="L70" s="37"/>
    </row>
    <row r="71" spans="4:12" ht="15.75" customHeight="1">
      <c r="D71" s="37"/>
      <c r="E71" s="37"/>
      <c r="F71" s="37"/>
      <c r="G71" s="37"/>
      <c r="H71" s="37"/>
      <c r="I71" s="37"/>
      <c r="J71" s="37"/>
      <c r="K71" s="37"/>
      <c r="L71" s="37"/>
    </row>
    <row r="72" spans="4:12" ht="15.75" customHeight="1">
      <c r="D72" s="37"/>
      <c r="E72" s="37"/>
      <c r="F72" s="37"/>
      <c r="G72" s="37"/>
      <c r="H72" s="37"/>
      <c r="I72" s="37"/>
      <c r="J72" s="37"/>
      <c r="K72" s="37"/>
      <c r="L72" s="37"/>
    </row>
    <row r="73" spans="4:12" ht="15.75" customHeight="1">
      <c r="D73" s="37"/>
      <c r="E73" s="37"/>
      <c r="F73" s="37"/>
      <c r="G73" s="37"/>
      <c r="H73" s="37"/>
      <c r="I73" s="37"/>
      <c r="J73" s="37"/>
      <c r="K73" s="37"/>
      <c r="L73" s="37"/>
    </row>
    <row r="74" spans="4:12" ht="15.75" customHeight="1">
      <c r="D74" s="37"/>
      <c r="E74" s="37"/>
      <c r="F74" s="37"/>
      <c r="G74" s="37"/>
      <c r="H74" s="37"/>
      <c r="I74" s="37"/>
      <c r="J74" s="37"/>
      <c r="K74" s="37"/>
      <c r="L74" s="37"/>
    </row>
    <row r="75" spans="4:12" ht="15.75" customHeight="1">
      <c r="D75" s="37"/>
      <c r="E75" s="37"/>
      <c r="F75" s="37"/>
      <c r="G75" s="37"/>
      <c r="H75" s="37"/>
      <c r="I75" s="37"/>
      <c r="J75" s="37"/>
      <c r="K75" s="37"/>
      <c r="L75" s="37"/>
    </row>
    <row r="76" spans="4:12" ht="15.75" customHeight="1">
      <c r="D76" s="37"/>
      <c r="E76" s="37"/>
      <c r="F76" s="37"/>
      <c r="G76" s="37"/>
      <c r="H76" s="37"/>
      <c r="I76" s="37"/>
      <c r="J76" s="37"/>
      <c r="K76" s="37"/>
      <c r="L76" s="37"/>
    </row>
    <row r="77" spans="4:12" ht="15.75" customHeight="1">
      <c r="D77" s="37"/>
      <c r="E77" s="37"/>
      <c r="F77" s="37"/>
      <c r="G77" s="37"/>
      <c r="H77" s="37"/>
      <c r="I77" s="37"/>
      <c r="J77" s="37"/>
      <c r="K77" s="37"/>
      <c r="L77" s="37"/>
    </row>
    <row r="78" spans="4:12" ht="15.75" customHeight="1">
      <c r="D78" s="37"/>
      <c r="E78" s="37"/>
      <c r="F78" s="37"/>
      <c r="G78" s="37"/>
      <c r="H78" s="37"/>
      <c r="I78" s="37"/>
      <c r="J78" s="37"/>
      <c r="K78" s="37"/>
      <c r="L78" s="37"/>
    </row>
    <row r="79" spans="4:12" ht="15.75" customHeight="1">
      <c r="D79" s="37"/>
      <c r="E79" s="37"/>
      <c r="F79" s="37"/>
      <c r="G79" s="37"/>
      <c r="H79" s="37"/>
      <c r="I79" s="37"/>
      <c r="J79" s="37"/>
      <c r="K79" s="37"/>
      <c r="L79" s="37"/>
    </row>
    <row r="80" spans="4:12" ht="15.75" customHeight="1">
      <c r="D80" s="37"/>
      <c r="E80" s="37"/>
      <c r="F80" s="37"/>
      <c r="G80" s="37"/>
      <c r="H80" s="37"/>
      <c r="I80" s="37"/>
      <c r="J80" s="37"/>
      <c r="K80" s="37"/>
      <c r="L80" s="37"/>
    </row>
    <row r="81" spans="4:12" ht="15.75" customHeight="1">
      <c r="D81" s="37"/>
      <c r="E81" s="37"/>
      <c r="F81" s="37"/>
      <c r="G81" s="37"/>
      <c r="H81" s="37"/>
      <c r="I81" s="37"/>
      <c r="J81" s="37"/>
      <c r="K81" s="37"/>
      <c r="L81" s="37"/>
    </row>
    <row r="82" spans="4:12" ht="15.75" customHeight="1">
      <c r="D82" s="37"/>
      <c r="E82" s="37"/>
      <c r="F82" s="37"/>
      <c r="G82" s="37"/>
      <c r="H82" s="37"/>
      <c r="I82" s="37"/>
      <c r="J82" s="37"/>
      <c r="K82" s="37"/>
      <c r="L82" s="37"/>
    </row>
    <row r="83" spans="4:12" ht="15.75" customHeight="1">
      <c r="D83" s="37"/>
      <c r="E83" s="37"/>
      <c r="F83" s="37"/>
      <c r="G83" s="37"/>
      <c r="H83" s="37"/>
      <c r="I83" s="37"/>
      <c r="J83" s="37"/>
      <c r="K83" s="37"/>
      <c r="L83" s="37"/>
    </row>
    <row r="84" spans="4:12" ht="15.75" customHeight="1">
      <c r="D84" s="37"/>
      <c r="E84" s="37"/>
      <c r="F84" s="37"/>
      <c r="G84" s="37"/>
      <c r="H84" s="37"/>
      <c r="I84" s="37"/>
      <c r="J84" s="37"/>
      <c r="K84" s="37"/>
      <c r="L84" s="37"/>
    </row>
    <row r="85" spans="4:12" ht="15.75" customHeight="1">
      <c r="D85" s="37"/>
      <c r="E85" s="37"/>
      <c r="F85" s="37"/>
      <c r="G85" s="37"/>
      <c r="H85" s="37"/>
      <c r="I85" s="37"/>
      <c r="J85" s="37"/>
      <c r="K85" s="37"/>
      <c r="L85" s="37"/>
    </row>
    <row r="86" spans="4:12" ht="15.75" customHeight="1">
      <c r="D86" s="37"/>
      <c r="E86" s="37"/>
      <c r="F86" s="37"/>
      <c r="G86" s="37"/>
      <c r="H86" s="37"/>
      <c r="I86" s="37"/>
      <c r="J86" s="37"/>
      <c r="K86" s="37"/>
      <c r="L86" s="37"/>
    </row>
    <row r="87" spans="4:12" ht="15.75" customHeight="1">
      <c r="D87" s="37"/>
      <c r="E87" s="37"/>
      <c r="F87" s="37"/>
      <c r="G87" s="37"/>
      <c r="H87" s="37"/>
      <c r="I87" s="37"/>
      <c r="J87" s="37"/>
      <c r="K87" s="37"/>
      <c r="L87" s="37"/>
    </row>
    <row r="88" spans="4:12" ht="15.75" customHeight="1">
      <c r="D88" s="37"/>
      <c r="E88" s="37"/>
      <c r="F88" s="37"/>
      <c r="G88" s="37"/>
      <c r="H88" s="37"/>
      <c r="I88" s="37"/>
      <c r="J88" s="37"/>
      <c r="K88" s="37"/>
      <c r="L88" s="37"/>
    </row>
    <row r="89" spans="4:12" ht="15.75" customHeight="1">
      <c r="D89" s="37"/>
      <c r="E89" s="37"/>
      <c r="F89" s="37"/>
      <c r="G89" s="37"/>
      <c r="H89" s="37"/>
      <c r="I89" s="37"/>
      <c r="J89" s="37"/>
      <c r="K89" s="37"/>
      <c r="L89" s="37"/>
    </row>
    <row r="90" spans="4:12" ht="15.75" customHeight="1">
      <c r="D90" s="37"/>
      <c r="E90" s="37"/>
      <c r="F90" s="37"/>
      <c r="G90" s="37"/>
      <c r="H90" s="37"/>
      <c r="I90" s="37"/>
      <c r="J90" s="37"/>
      <c r="K90" s="37"/>
      <c r="L90" s="37"/>
    </row>
    <row r="91" spans="4:12" ht="15.75" customHeight="1">
      <c r="D91" s="37"/>
      <c r="E91" s="37"/>
      <c r="F91" s="37"/>
      <c r="G91" s="37"/>
      <c r="H91" s="37"/>
      <c r="I91" s="37"/>
      <c r="J91" s="37"/>
      <c r="K91" s="37"/>
      <c r="L91" s="37"/>
    </row>
    <row r="92" spans="4:12" ht="15.75" customHeight="1">
      <c r="D92" s="37"/>
      <c r="E92" s="37"/>
      <c r="F92" s="37"/>
      <c r="G92" s="37"/>
      <c r="H92" s="37"/>
      <c r="I92" s="37"/>
      <c r="J92" s="37"/>
      <c r="K92" s="37"/>
      <c r="L92" s="37"/>
    </row>
    <row r="93" spans="4:12" ht="15.75" customHeight="1">
      <c r="D93" s="37"/>
      <c r="E93" s="37"/>
      <c r="F93" s="37"/>
      <c r="G93" s="37"/>
      <c r="H93" s="37"/>
      <c r="I93" s="37"/>
      <c r="J93" s="37"/>
      <c r="K93" s="37"/>
      <c r="L93" s="37"/>
    </row>
    <row r="94" spans="4:12" ht="15.75" customHeight="1">
      <c r="D94" s="37"/>
      <c r="E94" s="37"/>
      <c r="F94" s="37"/>
      <c r="G94" s="37"/>
      <c r="H94" s="37"/>
      <c r="I94" s="37"/>
      <c r="J94" s="37"/>
      <c r="K94" s="37"/>
      <c r="L94" s="37"/>
    </row>
    <row r="95" spans="4:12" ht="15.75" customHeight="1">
      <c r="D95" s="37"/>
      <c r="E95" s="37"/>
      <c r="F95" s="37"/>
      <c r="G95" s="37"/>
      <c r="H95" s="37"/>
      <c r="I95" s="37"/>
      <c r="J95" s="37"/>
      <c r="K95" s="37"/>
      <c r="L95" s="37"/>
    </row>
    <row r="96" spans="4:12" ht="15.75" customHeight="1">
      <c r="D96" s="37"/>
      <c r="E96" s="37"/>
      <c r="F96" s="37"/>
      <c r="G96" s="37"/>
      <c r="H96" s="37"/>
      <c r="I96" s="37"/>
      <c r="J96" s="37"/>
      <c r="K96" s="37"/>
      <c r="L96" s="37"/>
    </row>
    <row r="97" spans="4:12" ht="15.75" customHeight="1">
      <c r="D97" s="37"/>
      <c r="E97" s="37"/>
      <c r="F97" s="37"/>
      <c r="G97" s="37"/>
      <c r="H97" s="37"/>
      <c r="I97" s="37"/>
      <c r="J97" s="37"/>
      <c r="K97" s="37"/>
      <c r="L97" s="37"/>
    </row>
    <row r="98" spans="4:12" ht="15.75" customHeight="1">
      <c r="D98" s="37"/>
      <c r="E98" s="37"/>
      <c r="F98" s="37"/>
      <c r="G98" s="37"/>
      <c r="H98" s="37"/>
      <c r="I98" s="37"/>
      <c r="J98" s="37"/>
      <c r="K98" s="37"/>
      <c r="L98" s="37"/>
    </row>
    <row r="99" spans="4:12" ht="15.75" customHeight="1">
      <c r="D99" s="37"/>
      <c r="E99" s="37"/>
      <c r="F99" s="37"/>
      <c r="G99" s="37"/>
      <c r="H99" s="37"/>
      <c r="I99" s="37"/>
      <c r="J99" s="37"/>
      <c r="K99" s="37"/>
      <c r="L99" s="37"/>
    </row>
    <row r="100" spans="4:12" ht="15.75" customHeight="1">
      <c r="D100" s="37"/>
      <c r="E100" s="37"/>
      <c r="F100" s="37"/>
      <c r="G100" s="37"/>
      <c r="H100" s="37"/>
      <c r="I100" s="37"/>
      <c r="J100" s="37"/>
      <c r="K100" s="37"/>
      <c r="L100" s="37"/>
    </row>
    <row r="101" spans="4:12" ht="15.75" customHeight="1">
      <c r="D101" s="37"/>
      <c r="E101" s="37"/>
      <c r="F101" s="37"/>
      <c r="G101" s="37"/>
      <c r="H101" s="37"/>
      <c r="I101" s="37"/>
      <c r="J101" s="37"/>
      <c r="K101" s="37"/>
      <c r="L101" s="37"/>
    </row>
    <row r="102" spans="4:12" ht="15.75" customHeight="1">
      <c r="D102" s="37"/>
      <c r="E102" s="37"/>
      <c r="F102" s="37"/>
      <c r="G102" s="37"/>
      <c r="H102" s="37"/>
      <c r="I102" s="37"/>
      <c r="J102" s="37"/>
      <c r="K102" s="37"/>
      <c r="L102" s="37"/>
    </row>
    <row r="103" spans="4:12" ht="15.75" customHeight="1">
      <c r="D103" s="37"/>
      <c r="E103" s="37"/>
      <c r="F103" s="37"/>
      <c r="G103" s="37"/>
      <c r="H103" s="37"/>
      <c r="I103" s="37"/>
      <c r="J103" s="37"/>
      <c r="K103" s="37"/>
      <c r="L103" s="37"/>
    </row>
    <row r="104" spans="4:12" ht="15.75" customHeight="1">
      <c r="D104" s="37"/>
      <c r="E104" s="37"/>
      <c r="F104" s="37"/>
      <c r="G104" s="37"/>
      <c r="H104" s="37"/>
      <c r="I104" s="37"/>
      <c r="J104" s="37"/>
      <c r="K104" s="37"/>
      <c r="L104" s="37"/>
    </row>
    <row r="105" spans="4:12" ht="15.75" customHeight="1">
      <c r="D105" s="37"/>
      <c r="E105" s="37"/>
      <c r="F105" s="37"/>
      <c r="G105" s="37"/>
      <c r="H105" s="37"/>
      <c r="I105" s="37"/>
      <c r="J105" s="37"/>
      <c r="K105" s="37"/>
      <c r="L105" s="37"/>
    </row>
    <row r="106" spans="4:12" ht="15.75" customHeight="1">
      <c r="D106" s="37"/>
      <c r="E106" s="37"/>
      <c r="F106" s="37"/>
      <c r="G106" s="37"/>
      <c r="H106" s="37"/>
      <c r="I106" s="37"/>
      <c r="J106" s="37"/>
      <c r="K106" s="37"/>
      <c r="L106" s="37"/>
    </row>
    <row r="107" spans="4:12" ht="15.75" customHeight="1">
      <c r="D107" s="37"/>
      <c r="E107" s="37"/>
      <c r="F107" s="37"/>
      <c r="G107" s="37"/>
      <c r="H107" s="37"/>
      <c r="I107" s="37"/>
      <c r="J107" s="37"/>
      <c r="K107" s="37"/>
      <c r="L107" s="37"/>
    </row>
    <row r="108" spans="4:12" ht="15.75" customHeight="1">
      <c r="D108" s="37"/>
      <c r="E108" s="37"/>
      <c r="F108" s="37"/>
      <c r="G108" s="37"/>
      <c r="H108" s="37"/>
      <c r="I108" s="37"/>
      <c r="J108" s="37"/>
      <c r="K108" s="37"/>
      <c r="L108" s="37"/>
    </row>
    <row r="109" spans="4:12" ht="15.75" customHeight="1">
      <c r="D109" s="37"/>
      <c r="E109" s="37"/>
      <c r="F109" s="37"/>
      <c r="G109" s="37"/>
      <c r="H109" s="37"/>
      <c r="I109" s="37"/>
      <c r="J109" s="37"/>
      <c r="K109" s="37"/>
      <c r="L109" s="37"/>
    </row>
    <row r="110" spans="4:12" ht="15.75" customHeight="1">
      <c r="D110" s="37"/>
      <c r="E110" s="37"/>
      <c r="F110" s="37"/>
      <c r="G110" s="37"/>
      <c r="H110" s="37"/>
      <c r="I110" s="37"/>
      <c r="J110" s="37"/>
      <c r="K110" s="37"/>
      <c r="L110" s="37"/>
    </row>
    <row r="111" spans="4:12" ht="15.75" customHeight="1">
      <c r="D111" s="37"/>
      <c r="E111" s="37"/>
      <c r="F111" s="37"/>
      <c r="G111" s="37"/>
      <c r="H111" s="37"/>
      <c r="I111" s="37"/>
      <c r="J111" s="37"/>
      <c r="K111" s="37"/>
      <c r="L111" s="37"/>
    </row>
    <row r="112" spans="4:12" ht="15.75" customHeight="1">
      <c r="D112" s="37"/>
      <c r="E112" s="37"/>
      <c r="F112" s="37"/>
      <c r="G112" s="37"/>
      <c r="H112" s="37"/>
      <c r="I112" s="37"/>
      <c r="J112" s="37"/>
      <c r="K112" s="37"/>
      <c r="L112" s="37"/>
    </row>
    <row r="113" spans="4:12" ht="15.75" customHeight="1">
      <c r="D113" s="37"/>
      <c r="E113" s="37"/>
      <c r="F113" s="37"/>
      <c r="G113" s="37"/>
      <c r="H113" s="37"/>
      <c r="I113" s="37"/>
      <c r="J113" s="37"/>
      <c r="K113" s="37"/>
      <c r="L113" s="37"/>
    </row>
    <row r="114" spans="4:12" ht="15.75" customHeight="1">
      <c r="D114" s="37"/>
      <c r="E114" s="37"/>
      <c r="F114" s="37"/>
      <c r="G114" s="37"/>
      <c r="H114" s="37"/>
      <c r="I114" s="37"/>
      <c r="J114" s="37"/>
      <c r="K114" s="37"/>
      <c r="L114" s="37"/>
    </row>
    <row r="115" spans="4:12" ht="15.75" customHeight="1">
      <c r="D115" s="37"/>
      <c r="E115" s="37"/>
      <c r="F115" s="37"/>
      <c r="G115" s="37"/>
      <c r="H115" s="37"/>
      <c r="I115" s="37"/>
      <c r="J115" s="37"/>
      <c r="K115" s="37"/>
      <c r="L115" s="37"/>
    </row>
    <row r="116" spans="4:12" ht="15.75" customHeight="1">
      <c r="D116" s="37"/>
      <c r="E116" s="37"/>
      <c r="F116" s="37"/>
      <c r="G116" s="37"/>
      <c r="H116" s="37"/>
      <c r="I116" s="37"/>
      <c r="J116" s="37"/>
      <c r="K116" s="37"/>
      <c r="L116" s="37"/>
    </row>
    <row r="117" spans="4:12" ht="15.75" customHeight="1">
      <c r="D117" s="37"/>
      <c r="E117" s="37"/>
      <c r="F117" s="37"/>
      <c r="G117" s="37"/>
      <c r="H117" s="37"/>
      <c r="I117" s="37"/>
      <c r="J117" s="37"/>
      <c r="K117" s="37"/>
      <c r="L117" s="37"/>
    </row>
    <row r="118" spans="4:12" ht="15.75" customHeight="1">
      <c r="D118" s="37"/>
      <c r="E118" s="37"/>
      <c r="F118" s="37"/>
      <c r="G118" s="37"/>
      <c r="H118" s="37"/>
      <c r="I118" s="37"/>
      <c r="J118" s="37"/>
      <c r="K118" s="37"/>
      <c r="L118" s="37"/>
    </row>
    <row r="119" spans="4:12" ht="15.75" customHeight="1">
      <c r="D119" s="37"/>
      <c r="E119" s="37"/>
      <c r="F119" s="37"/>
      <c r="G119" s="37"/>
      <c r="H119" s="37"/>
      <c r="I119" s="37"/>
      <c r="J119" s="37"/>
      <c r="K119" s="37"/>
      <c r="L119" s="37"/>
    </row>
    <row r="120" spans="4:12" ht="15.75" customHeight="1">
      <c r="D120" s="37"/>
      <c r="E120" s="37"/>
      <c r="F120" s="37"/>
      <c r="G120" s="37"/>
      <c r="H120" s="37"/>
      <c r="I120" s="37"/>
      <c r="J120" s="37"/>
      <c r="K120" s="37"/>
      <c r="L120" s="37"/>
    </row>
    <row r="121" spans="4:12" ht="15.75" customHeight="1">
      <c r="D121" s="37"/>
      <c r="E121" s="37"/>
      <c r="F121" s="37"/>
      <c r="G121" s="37"/>
      <c r="H121" s="37"/>
      <c r="I121" s="37"/>
      <c r="J121" s="37"/>
      <c r="K121" s="37"/>
      <c r="L121" s="37"/>
    </row>
    <row r="122" spans="4:12" ht="15.75" customHeight="1">
      <c r="D122" s="37"/>
      <c r="E122" s="37"/>
      <c r="F122" s="37"/>
      <c r="G122" s="37"/>
      <c r="H122" s="37"/>
      <c r="I122" s="37"/>
      <c r="J122" s="37"/>
      <c r="K122" s="37"/>
      <c r="L122" s="37"/>
    </row>
    <row r="123" spans="4:12" ht="15.75" customHeight="1">
      <c r="D123" s="37"/>
      <c r="E123" s="37"/>
      <c r="F123" s="37"/>
      <c r="G123" s="37"/>
      <c r="H123" s="37"/>
      <c r="I123" s="37"/>
      <c r="J123" s="37"/>
      <c r="K123" s="37"/>
      <c r="L123" s="37"/>
    </row>
    <row r="124" spans="4:12" ht="15.75" customHeight="1">
      <c r="D124" s="37"/>
      <c r="E124" s="37"/>
      <c r="F124" s="37"/>
      <c r="G124" s="37"/>
      <c r="H124" s="37"/>
      <c r="I124" s="37"/>
      <c r="J124" s="37"/>
      <c r="K124" s="37"/>
      <c r="L124" s="37"/>
    </row>
    <row r="125" spans="4:12" ht="15.75" customHeight="1">
      <c r="D125" s="37"/>
      <c r="E125" s="37"/>
      <c r="F125" s="37"/>
      <c r="G125" s="37"/>
      <c r="H125" s="37"/>
      <c r="I125" s="37"/>
      <c r="J125" s="37"/>
      <c r="K125" s="37"/>
      <c r="L125" s="37"/>
    </row>
    <row r="126" spans="4:12" ht="15.75" customHeight="1">
      <c r="D126" s="37"/>
      <c r="E126" s="37"/>
      <c r="F126" s="37"/>
      <c r="G126" s="37"/>
      <c r="H126" s="37"/>
      <c r="I126" s="37"/>
      <c r="J126" s="37"/>
      <c r="K126" s="37"/>
      <c r="L126" s="37"/>
    </row>
    <row r="127" spans="4:12" ht="15.75" customHeight="1">
      <c r="D127" s="37"/>
      <c r="E127" s="37"/>
      <c r="F127" s="37"/>
      <c r="G127" s="37"/>
      <c r="H127" s="37"/>
      <c r="I127" s="37"/>
      <c r="J127" s="37"/>
      <c r="K127" s="37"/>
      <c r="L127" s="37"/>
    </row>
    <row r="128" spans="4:12" ht="15.75" customHeight="1">
      <c r="D128" s="37"/>
      <c r="E128" s="37"/>
      <c r="F128" s="37"/>
      <c r="G128" s="37"/>
      <c r="H128" s="37"/>
      <c r="I128" s="37"/>
      <c r="J128" s="37"/>
      <c r="K128" s="37"/>
      <c r="L128" s="37"/>
    </row>
    <row r="129" spans="4:12" ht="15.75" customHeight="1">
      <c r="D129" s="37"/>
      <c r="E129" s="37"/>
      <c r="F129" s="37"/>
      <c r="G129" s="37"/>
      <c r="H129" s="37"/>
      <c r="I129" s="37"/>
      <c r="J129" s="37"/>
      <c r="K129" s="37"/>
      <c r="L129" s="37"/>
    </row>
    <row r="130" spans="4:12" ht="15.75" customHeight="1">
      <c r="D130" s="37"/>
      <c r="E130" s="37"/>
      <c r="F130" s="37"/>
      <c r="G130" s="37"/>
      <c r="H130" s="37"/>
      <c r="I130" s="37"/>
      <c r="J130" s="37"/>
      <c r="K130" s="37"/>
      <c r="L130" s="37"/>
    </row>
    <row r="131" spans="4:12" ht="15.75" customHeight="1">
      <c r="D131" s="37"/>
      <c r="E131" s="37"/>
      <c r="F131" s="37"/>
      <c r="G131" s="37"/>
      <c r="H131" s="37"/>
      <c r="I131" s="37"/>
      <c r="J131" s="37"/>
      <c r="K131" s="37"/>
      <c r="L131" s="37"/>
    </row>
    <row r="132" spans="4:12" ht="15.75" customHeight="1">
      <c r="D132" s="37"/>
      <c r="E132" s="37"/>
      <c r="F132" s="37"/>
      <c r="G132" s="37"/>
      <c r="H132" s="37"/>
      <c r="I132" s="37"/>
      <c r="J132" s="37"/>
      <c r="K132" s="37"/>
      <c r="L132" s="37"/>
    </row>
    <row r="133" spans="4:12" ht="15.75" customHeight="1">
      <c r="D133" s="37"/>
      <c r="E133" s="37"/>
      <c r="F133" s="37"/>
      <c r="G133" s="37"/>
      <c r="H133" s="37"/>
      <c r="I133" s="37"/>
      <c r="J133" s="37"/>
      <c r="K133" s="37"/>
      <c r="L133" s="37"/>
    </row>
    <row r="134" spans="4:12" ht="15.75" customHeight="1">
      <c r="D134" s="37"/>
      <c r="E134" s="37"/>
      <c r="F134" s="37"/>
      <c r="G134" s="37"/>
      <c r="H134" s="37"/>
      <c r="I134" s="37"/>
      <c r="J134" s="37"/>
      <c r="K134" s="37"/>
      <c r="L134" s="37"/>
    </row>
    <row r="135" spans="4:12" ht="15.75" customHeight="1">
      <c r="D135" s="37"/>
      <c r="E135" s="37"/>
      <c r="F135" s="37"/>
      <c r="G135" s="37"/>
      <c r="H135" s="37"/>
      <c r="I135" s="37"/>
      <c r="J135" s="37"/>
      <c r="K135" s="37"/>
      <c r="L135" s="37"/>
    </row>
    <row r="136" spans="4:12" ht="15.75" customHeight="1">
      <c r="D136" s="37"/>
      <c r="E136" s="37"/>
      <c r="F136" s="37"/>
      <c r="G136" s="37"/>
      <c r="H136" s="37"/>
      <c r="I136" s="37"/>
      <c r="J136" s="37"/>
      <c r="K136" s="37"/>
      <c r="L136" s="37"/>
    </row>
    <row r="137" spans="4:12" ht="15.75" customHeight="1">
      <c r="D137" s="37"/>
      <c r="E137" s="37"/>
      <c r="F137" s="37"/>
      <c r="G137" s="37"/>
      <c r="H137" s="37"/>
      <c r="I137" s="37"/>
      <c r="J137" s="37"/>
      <c r="K137" s="37"/>
      <c r="L137" s="37"/>
    </row>
    <row r="138" spans="4:12" ht="15.75" customHeight="1">
      <c r="D138" s="37"/>
      <c r="E138" s="37"/>
      <c r="F138" s="37"/>
      <c r="G138" s="37"/>
      <c r="H138" s="37"/>
      <c r="I138" s="37"/>
      <c r="J138" s="37"/>
      <c r="K138" s="37"/>
      <c r="L138" s="37"/>
    </row>
    <row r="139" spans="4:12" ht="15.75" customHeight="1">
      <c r="D139" s="37"/>
      <c r="E139" s="37"/>
      <c r="F139" s="37"/>
      <c r="G139" s="37"/>
      <c r="H139" s="37"/>
      <c r="I139" s="37"/>
      <c r="J139" s="37"/>
      <c r="K139" s="37"/>
      <c r="L139" s="37"/>
    </row>
    <row r="140" spans="4:12" ht="15.75" customHeight="1">
      <c r="D140" s="37"/>
      <c r="E140" s="37"/>
      <c r="F140" s="37"/>
      <c r="G140" s="37"/>
      <c r="H140" s="37"/>
      <c r="I140" s="37"/>
      <c r="J140" s="37"/>
      <c r="K140" s="37"/>
      <c r="L140" s="37"/>
    </row>
    <row r="141" spans="4:12" ht="15.75" customHeight="1">
      <c r="D141" s="37"/>
      <c r="E141" s="37"/>
      <c r="F141" s="37"/>
      <c r="G141" s="37"/>
      <c r="H141" s="37"/>
      <c r="I141" s="37"/>
      <c r="J141" s="37"/>
      <c r="K141" s="37"/>
      <c r="L141" s="37"/>
    </row>
    <row r="142" spans="4:12" ht="15.75" customHeight="1">
      <c r="D142" s="37"/>
      <c r="E142" s="37"/>
      <c r="F142" s="37"/>
      <c r="G142" s="37"/>
      <c r="H142" s="37"/>
      <c r="I142" s="37"/>
      <c r="J142" s="37"/>
      <c r="K142" s="37"/>
      <c r="L142" s="37"/>
    </row>
    <row r="143" spans="4:12" ht="15.75" customHeight="1">
      <c r="D143" s="37"/>
      <c r="E143" s="37"/>
      <c r="F143" s="37"/>
      <c r="G143" s="37"/>
      <c r="H143" s="37"/>
      <c r="I143" s="37"/>
      <c r="J143" s="37"/>
      <c r="K143" s="37"/>
      <c r="L143" s="37"/>
    </row>
    <row r="144" spans="4:12" ht="15.75" customHeight="1">
      <c r="D144" s="37"/>
      <c r="E144" s="37"/>
      <c r="F144" s="37"/>
      <c r="G144" s="37"/>
      <c r="H144" s="37"/>
      <c r="I144" s="37"/>
      <c r="J144" s="37"/>
      <c r="K144" s="37"/>
      <c r="L144" s="37"/>
    </row>
    <row r="145" spans="4:12" ht="15.75" customHeight="1">
      <c r="D145" s="37"/>
      <c r="E145" s="37"/>
      <c r="F145" s="37"/>
      <c r="G145" s="37"/>
      <c r="H145" s="37"/>
      <c r="I145" s="37"/>
      <c r="J145" s="37"/>
      <c r="K145" s="37"/>
      <c r="L145" s="37"/>
    </row>
    <row r="146" spans="4:12" ht="15.75" customHeight="1">
      <c r="D146" s="37"/>
      <c r="E146" s="37"/>
      <c r="F146" s="37"/>
      <c r="G146" s="37"/>
      <c r="H146" s="37"/>
      <c r="I146" s="37"/>
      <c r="J146" s="37"/>
      <c r="K146" s="37"/>
      <c r="L146" s="37"/>
    </row>
    <row r="147" spans="4:12" ht="15.75" customHeight="1">
      <c r="D147" s="37"/>
      <c r="E147" s="37"/>
      <c r="F147" s="37"/>
      <c r="G147" s="37"/>
      <c r="H147" s="37"/>
      <c r="I147" s="37"/>
      <c r="J147" s="37"/>
      <c r="K147" s="37"/>
      <c r="L147" s="37"/>
    </row>
    <row r="148" spans="4:12" ht="15.75" customHeight="1">
      <c r="D148" s="37"/>
      <c r="E148" s="37"/>
      <c r="F148" s="37"/>
      <c r="G148" s="37"/>
      <c r="H148" s="37"/>
      <c r="I148" s="37"/>
      <c r="J148" s="37"/>
      <c r="K148" s="37"/>
      <c r="L148" s="37"/>
    </row>
    <row r="149" spans="4:12" ht="15.75" customHeight="1">
      <c r="D149" s="37"/>
      <c r="E149" s="37"/>
      <c r="F149" s="37"/>
      <c r="G149" s="37"/>
      <c r="H149" s="37"/>
      <c r="I149" s="37"/>
      <c r="J149" s="37"/>
      <c r="K149" s="37"/>
      <c r="L149" s="37"/>
    </row>
    <row r="150" spans="4:12" ht="15.75" customHeight="1">
      <c r="D150" s="37"/>
      <c r="E150" s="37"/>
      <c r="F150" s="37"/>
      <c r="G150" s="37"/>
      <c r="H150" s="37"/>
      <c r="I150" s="37"/>
      <c r="J150" s="37"/>
      <c r="K150" s="37"/>
      <c r="L150" s="37"/>
    </row>
    <row r="151" spans="4:12" ht="15.75" customHeight="1">
      <c r="D151" s="37"/>
      <c r="E151" s="37"/>
      <c r="F151" s="37"/>
      <c r="G151" s="37"/>
      <c r="H151" s="37"/>
      <c r="I151" s="37"/>
      <c r="J151" s="37"/>
      <c r="K151" s="37"/>
      <c r="L151" s="37"/>
    </row>
    <row r="152" spans="4:12" ht="15.75" customHeight="1">
      <c r="D152" s="37"/>
      <c r="E152" s="37"/>
      <c r="F152" s="37"/>
      <c r="G152" s="37"/>
      <c r="H152" s="37"/>
      <c r="I152" s="37"/>
      <c r="J152" s="37"/>
      <c r="K152" s="37"/>
      <c r="L152" s="37"/>
    </row>
    <row r="153" spans="4:12" ht="15.75" customHeight="1">
      <c r="D153" s="37"/>
      <c r="E153" s="37"/>
      <c r="F153" s="37"/>
      <c r="G153" s="37"/>
      <c r="H153" s="37"/>
      <c r="I153" s="37"/>
      <c r="J153" s="37"/>
      <c r="K153" s="37"/>
      <c r="L153" s="37"/>
    </row>
    <row r="154" spans="4:12" ht="15.75" customHeight="1">
      <c r="D154" s="37"/>
      <c r="E154" s="37"/>
      <c r="F154" s="37"/>
      <c r="G154" s="37"/>
      <c r="H154" s="37"/>
      <c r="I154" s="37"/>
      <c r="J154" s="37"/>
      <c r="K154" s="37"/>
      <c r="L154" s="37"/>
    </row>
    <row r="155" spans="4:12" ht="15.75" customHeight="1">
      <c r="D155" s="37"/>
      <c r="E155" s="37"/>
      <c r="F155" s="37"/>
      <c r="G155" s="37"/>
      <c r="H155" s="37"/>
      <c r="I155" s="37"/>
      <c r="J155" s="37"/>
      <c r="K155" s="37"/>
      <c r="L155" s="37"/>
    </row>
    <row r="156" spans="4:12" ht="15.75" customHeight="1">
      <c r="D156" s="37"/>
      <c r="E156" s="37"/>
      <c r="F156" s="37"/>
      <c r="G156" s="37"/>
      <c r="H156" s="37"/>
      <c r="I156" s="37"/>
      <c r="J156" s="37"/>
      <c r="K156" s="37"/>
      <c r="L156" s="37"/>
    </row>
    <row r="157" spans="4:12" ht="15.75" customHeight="1">
      <c r="D157" s="37"/>
      <c r="E157" s="37"/>
      <c r="F157" s="37"/>
      <c r="G157" s="37"/>
      <c r="H157" s="37"/>
      <c r="I157" s="37"/>
      <c r="J157" s="37"/>
      <c r="K157" s="37"/>
      <c r="L157" s="37"/>
    </row>
    <row r="158" spans="4:12" ht="15.75" customHeight="1">
      <c r="D158" s="37"/>
      <c r="E158" s="37"/>
      <c r="F158" s="37"/>
      <c r="G158" s="37"/>
      <c r="H158" s="37"/>
      <c r="I158" s="37"/>
      <c r="J158" s="37"/>
      <c r="K158" s="37"/>
      <c r="L158" s="37"/>
    </row>
    <row r="159" spans="4:12" ht="15.75" customHeight="1">
      <c r="D159" s="37"/>
      <c r="E159" s="37"/>
      <c r="F159" s="37"/>
      <c r="G159" s="37"/>
      <c r="H159" s="37"/>
      <c r="I159" s="37"/>
      <c r="J159" s="37"/>
      <c r="K159" s="37"/>
      <c r="L159" s="37"/>
    </row>
    <row r="160" spans="4:12" ht="15.75" customHeight="1">
      <c r="D160" s="37"/>
      <c r="E160" s="37"/>
      <c r="F160" s="37"/>
      <c r="G160" s="37"/>
      <c r="H160" s="37"/>
      <c r="I160" s="37"/>
      <c r="J160" s="37"/>
      <c r="K160" s="37"/>
      <c r="L160" s="37"/>
    </row>
    <row r="161" spans="4:12" ht="15.75" customHeight="1">
      <c r="D161" s="37"/>
      <c r="E161" s="37"/>
      <c r="F161" s="37"/>
      <c r="G161" s="37"/>
      <c r="H161" s="37"/>
      <c r="I161" s="37"/>
      <c r="J161" s="37"/>
      <c r="K161" s="37"/>
      <c r="L161" s="37"/>
    </row>
    <row r="162" spans="4:12" ht="15.75" customHeight="1">
      <c r="D162" s="37"/>
      <c r="E162" s="37"/>
      <c r="F162" s="37"/>
      <c r="G162" s="37"/>
      <c r="H162" s="37"/>
      <c r="I162" s="37"/>
      <c r="J162" s="37"/>
      <c r="K162" s="37"/>
      <c r="L162" s="37"/>
    </row>
    <row r="163" spans="4:12" ht="15.75" customHeight="1">
      <c r="D163" s="37"/>
      <c r="E163" s="37"/>
      <c r="F163" s="37"/>
      <c r="G163" s="37"/>
      <c r="H163" s="37"/>
      <c r="I163" s="37"/>
      <c r="J163" s="37"/>
      <c r="K163" s="37"/>
      <c r="L163" s="37"/>
    </row>
    <row r="164" spans="4:12" ht="15.75" customHeight="1">
      <c r="D164" s="37"/>
      <c r="E164" s="37"/>
      <c r="F164" s="37"/>
      <c r="G164" s="37"/>
      <c r="H164" s="37"/>
      <c r="I164" s="37"/>
      <c r="J164" s="37"/>
      <c r="K164" s="37"/>
      <c r="L164" s="37"/>
    </row>
    <row r="165" spans="4:12" ht="15.75" customHeight="1">
      <c r="D165" s="37"/>
      <c r="E165" s="37"/>
      <c r="F165" s="37"/>
      <c r="G165" s="37"/>
      <c r="H165" s="37"/>
      <c r="I165" s="37"/>
      <c r="J165" s="37"/>
      <c r="K165" s="37"/>
      <c r="L165" s="37"/>
    </row>
    <row r="166" spans="4:12" ht="15.75" customHeight="1">
      <c r="D166" s="37"/>
      <c r="E166" s="37"/>
      <c r="F166" s="37"/>
      <c r="G166" s="37"/>
      <c r="H166" s="37"/>
      <c r="I166" s="37"/>
      <c r="J166" s="37"/>
      <c r="K166" s="37"/>
      <c r="L166" s="37"/>
    </row>
    <row r="167" spans="4:12" ht="15.75" customHeight="1">
      <c r="D167" s="37"/>
      <c r="E167" s="37"/>
      <c r="F167" s="37"/>
      <c r="G167" s="37"/>
      <c r="H167" s="37"/>
      <c r="I167" s="37"/>
      <c r="J167" s="37"/>
      <c r="K167" s="37"/>
      <c r="L167" s="37"/>
    </row>
    <row r="168" spans="4:12" ht="15.75" customHeight="1">
      <c r="D168" s="37"/>
      <c r="E168" s="37"/>
      <c r="F168" s="37"/>
      <c r="G168" s="37"/>
      <c r="H168" s="37"/>
      <c r="I168" s="37"/>
      <c r="J168" s="37"/>
      <c r="K168" s="37"/>
      <c r="L168" s="37"/>
    </row>
    <row r="169" spans="4:12" ht="15.75" customHeight="1">
      <c r="D169" s="37"/>
      <c r="E169" s="37"/>
      <c r="F169" s="37"/>
      <c r="G169" s="37"/>
      <c r="H169" s="37"/>
      <c r="I169" s="37"/>
      <c r="J169" s="37"/>
      <c r="K169" s="37"/>
      <c r="L169" s="37"/>
    </row>
    <row r="170" spans="4:12" ht="15.75" customHeight="1">
      <c r="D170" s="37"/>
      <c r="E170" s="37"/>
      <c r="F170" s="37"/>
      <c r="G170" s="37"/>
      <c r="H170" s="37"/>
      <c r="I170" s="37"/>
      <c r="J170" s="37"/>
      <c r="K170" s="37"/>
      <c r="L170" s="37"/>
    </row>
    <row r="171" spans="4:12" ht="15.75" customHeight="1">
      <c r="D171" s="37"/>
      <c r="E171" s="37"/>
      <c r="F171" s="37"/>
      <c r="G171" s="37"/>
      <c r="H171" s="37"/>
      <c r="I171" s="37"/>
      <c r="J171" s="37"/>
      <c r="K171" s="37"/>
      <c r="L171" s="37"/>
    </row>
    <row r="172" spans="4:12" ht="15.75" customHeight="1">
      <c r="D172" s="37"/>
      <c r="E172" s="37"/>
      <c r="F172" s="37"/>
      <c r="G172" s="37"/>
      <c r="H172" s="37"/>
      <c r="I172" s="37"/>
      <c r="J172" s="37"/>
      <c r="K172" s="37"/>
      <c r="L172" s="37"/>
    </row>
    <row r="173" spans="4:12" ht="15.75" customHeight="1">
      <c r="D173" s="37"/>
      <c r="E173" s="37"/>
      <c r="F173" s="37"/>
      <c r="G173" s="37"/>
      <c r="H173" s="37"/>
      <c r="I173" s="37"/>
      <c r="J173" s="37"/>
      <c r="K173" s="37"/>
      <c r="L173" s="37"/>
    </row>
    <row r="174" spans="4:12" ht="15.75" customHeight="1">
      <c r="D174" s="37"/>
      <c r="E174" s="37"/>
      <c r="F174" s="37"/>
      <c r="G174" s="37"/>
      <c r="H174" s="37"/>
      <c r="I174" s="37"/>
      <c r="J174" s="37"/>
      <c r="K174" s="37"/>
      <c r="L174" s="37"/>
    </row>
    <row r="175" spans="4:12" ht="15.75" customHeight="1">
      <c r="D175" s="37"/>
      <c r="E175" s="37"/>
      <c r="F175" s="37"/>
      <c r="G175" s="37"/>
      <c r="H175" s="37"/>
      <c r="I175" s="37"/>
      <c r="J175" s="37"/>
      <c r="K175" s="37"/>
      <c r="L175" s="37"/>
    </row>
    <row r="176" spans="4:12" ht="15.75" customHeight="1">
      <c r="D176" s="37"/>
      <c r="E176" s="37"/>
      <c r="F176" s="37"/>
      <c r="G176" s="37"/>
      <c r="H176" s="37"/>
      <c r="I176" s="37"/>
      <c r="J176" s="37"/>
      <c r="K176" s="37"/>
      <c r="L176" s="37"/>
    </row>
    <row r="177" spans="4:12" ht="15.75" customHeight="1">
      <c r="D177" s="37"/>
      <c r="E177" s="37"/>
      <c r="F177" s="37"/>
      <c r="G177" s="37"/>
      <c r="H177" s="37"/>
      <c r="I177" s="37"/>
      <c r="J177" s="37"/>
      <c r="K177" s="37"/>
      <c r="L177" s="37"/>
    </row>
    <row r="178" spans="4:12" ht="15.75" customHeight="1">
      <c r="D178" s="37"/>
      <c r="E178" s="37"/>
      <c r="F178" s="37"/>
      <c r="G178" s="37"/>
      <c r="H178" s="37"/>
      <c r="I178" s="37"/>
      <c r="J178" s="37"/>
      <c r="K178" s="37"/>
      <c r="L178" s="37"/>
    </row>
    <row r="179" spans="4:12" ht="15.75" customHeight="1">
      <c r="D179" s="37"/>
      <c r="E179" s="37"/>
      <c r="F179" s="37"/>
      <c r="G179" s="37"/>
      <c r="H179" s="37"/>
      <c r="I179" s="37"/>
      <c r="J179" s="37"/>
      <c r="K179" s="37"/>
      <c r="L179" s="37"/>
    </row>
    <row r="180" spans="4:12" ht="15.75" customHeight="1">
      <c r="D180" s="37"/>
      <c r="E180" s="37"/>
      <c r="F180" s="37"/>
      <c r="G180" s="37"/>
      <c r="H180" s="37"/>
      <c r="I180" s="37"/>
      <c r="J180" s="37"/>
      <c r="K180" s="37"/>
      <c r="L180" s="37"/>
    </row>
    <row r="181" spans="4:12" ht="15.75" customHeight="1">
      <c r="D181" s="37"/>
      <c r="E181" s="37"/>
      <c r="F181" s="37"/>
      <c r="G181" s="37"/>
      <c r="H181" s="37"/>
      <c r="I181" s="37"/>
      <c r="J181" s="37"/>
      <c r="K181" s="37"/>
      <c r="L181" s="37"/>
    </row>
    <row r="182" spans="4:12" ht="15.75" customHeight="1">
      <c r="D182" s="37"/>
      <c r="E182" s="37"/>
      <c r="F182" s="37"/>
      <c r="G182" s="37"/>
      <c r="H182" s="37"/>
      <c r="I182" s="37"/>
      <c r="J182" s="37"/>
      <c r="K182" s="37"/>
      <c r="L182" s="37"/>
    </row>
    <row r="183" spans="4:12" ht="15.75" customHeight="1">
      <c r="D183" s="37"/>
      <c r="E183" s="37"/>
      <c r="F183" s="37"/>
      <c r="G183" s="37"/>
      <c r="H183" s="37"/>
      <c r="I183" s="37"/>
      <c r="J183" s="37"/>
      <c r="K183" s="37"/>
      <c r="L183" s="37"/>
    </row>
    <row r="184" spans="4:12" ht="15.75" customHeight="1">
      <c r="D184" s="37"/>
      <c r="E184" s="37"/>
      <c r="F184" s="37"/>
      <c r="G184" s="37"/>
      <c r="H184" s="37"/>
      <c r="I184" s="37"/>
      <c r="J184" s="37"/>
      <c r="K184" s="37"/>
      <c r="L184" s="37"/>
    </row>
    <row r="185" spans="4:12" ht="15.75" customHeight="1">
      <c r="D185" s="37"/>
      <c r="E185" s="37"/>
      <c r="F185" s="37"/>
      <c r="G185" s="37"/>
      <c r="H185" s="37"/>
      <c r="I185" s="37"/>
      <c r="J185" s="37"/>
      <c r="K185" s="37"/>
      <c r="L185" s="37"/>
    </row>
    <row r="186" spans="4:12" ht="15.75" customHeight="1">
      <c r="D186" s="37"/>
      <c r="E186" s="37"/>
      <c r="F186" s="37"/>
      <c r="G186" s="37"/>
      <c r="H186" s="37"/>
      <c r="I186" s="37"/>
      <c r="J186" s="37"/>
      <c r="K186" s="37"/>
      <c r="L186" s="37"/>
    </row>
    <row r="187" spans="4:12" ht="15.75" customHeight="1">
      <c r="D187" s="37"/>
      <c r="E187" s="37"/>
      <c r="F187" s="37"/>
      <c r="G187" s="37"/>
      <c r="H187" s="37"/>
      <c r="I187" s="37"/>
      <c r="J187" s="37"/>
      <c r="K187" s="37"/>
      <c r="L187" s="37"/>
    </row>
    <row r="188" spans="4:12" ht="15.75" customHeight="1">
      <c r="D188" s="37"/>
      <c r="E188" s="37"/>
      <c r="F188" s="37"/>
      <c r="G188" s="37"/>
      <c r="H188" s="37"/>
      <c r="I188" s="37"/>
      <c r="J188" s="37"/>
      <c r="K188" s="37"/>
      <c r="L188" s="37"/>
    </row>
    <row r="189" spans="4:12" ht="15.75" customHeight="1">
      <c r="D189" s="37"/>
      <c r="E189" s="37"/>
      <c r="F189" s="37"/>
      <c r="G189" s="37"/>
      <c r="H189" s="37"/>
      <c r="I189" s="37"/>
      <c r="J189" s="37"/>
      <c r="K189" s="37"/>
      <c r="L189" s="37"/>
    </row>
    <row r="190" spans="4:12" ht="15.75" customHeight="1">
      <c r="D190" s="37"/>
      <c r="E190" s="37"/>
      <c r="F190" s="37"/>
      <c r="G190" s="37"/>
      <c r="H190" s="37"/>
      <c r="I190" s="37"/>
      <c r="J190" s="37"/>
      <c r="K190" s="37"/>
      <c r="L190" s="37"/>
    </row>
    <row r="191" spans="4:12" ht="15.75" customHeight="1">
      <c r="D191" s="37"/>
      <c r="E191" s="37"/>
      <c r="F191" s="37"/>
      <c r="G191" s="37"/>
      <c r="H191" s="37"/>
      <c r="I191" s="37"/>
      <c r="J191" s="37"/>
      <c r="K191" s="37"/>
      <c r="L191" s="37"/>
    </row>
    <row r="192" spans="4:12" ht="15.75" customHeight="1">
      <c r="D192" s="37"/>
      <c r="E192" s="37"/>
      <c r="F192" s="37"/>
      <c r="G192" s="37"/>
      <c r="H192" s="37"/>
      <c r="I192" s="37"/>
      <c r="J192" s="37"/>
      <c r="K192" s="37"/>
      <c r="L192" s="37"/>
    </row>
    <row r="193" spans="4:12" ht="15.75" customHeight="1">
      <c r="D193" s="37"/>
      <c r="E193" s="37"/>
      <c r="F193" s="37"/>
      <c r="G193" s="37"/>
      <c r="H193" s="37"/>
      <c r="I193" s="37"/>
      <c r="J193" s="37"/>
      <c r="K193" s="37"/>
      <c r="L193" s="37"/>
    </row>
    <row r="194" spans="4:12" ht="15.75" customHeight="1">
      <c r="D194" s="37"/>
      <c r="E194" s="37"/>
      <c r="F194" s="37"/>
      <c r="G194" s="37"/>
      <c r="H194" s="37"/>
      <c r="I194" s="37"/>
      <c r="J194" s="37"/>
      <c r="K194" s="37"/>
      <c r="L194" s="37"/>
    </row>
    <row r="195" spans="4:12" ht="15.75" customHeight="1">
      <c r="D195" s="37"/>
      <c r="E195" s="37"/>
      <c r="F195" s="37"/>
      <c r="G195" s="37"/>
      <c r="H195" s="37"/>
      <c r="I195" s="37"/>
      <c r="J195" s="37"/>
      <c r="K195" s="37"/>
      <c r="L195" s="37"/>
    </row>
    <row r="196" spans="4:12" ht="15.75" customHeight="1">
      <c r="D196" s="37"/>
      <c r="E196" s="37"/>
      <c r="F196" s="37"/>
      <c r="G196" s="37"/>
      <c r="H196" s="37"/>
      <c r="I196" s="37"/>
      <c r="J196" s="37"/>
      <c r="K196" s="37"/>
      <c r="L196" s="37"/>
    </row>
    <row r="197" spans="4:12" ht="15.75" customHeight="1">
      <c r="D197" s="37"/>
      <c r="E197" s="37"/>
      <c r="F197" s="37"/>
      <c r="G197" s="37"/>
      <c r="H197" s="37"/>
      <c r="I197" s="37"/>
      <c r="J197" s="37"/>
      <c r="K197" s="37"/>
      <c r="L197" s="37"/>
    </row>
    <row r="198" spans="4:12" ht="15.75" customHeight="1">
      <c r="D198" s="37"/>
      <c r="E198" s="37"/>
      <c r="F198" s="37"/>
      <c r="G198" s="37"/>
      <c r="H198" s="37"/>
      <c r="I198" s="37"/>
      <c r="J198" s="37"/>
      <c r="K198" s="37"/>
      <c r="L198" s="37"/>
    </row>
    <row r="199" spans="4:12" ht="15.75" customHeight="1">
      <c r="D199" s="37"/>
      <c r="E199" s="37"/>
      <c r="F199" s="37"/>
      <c r="G199" s="37"/>
      <c r="H199" s="37"/>
      <c r="I199" s="37"/>
      <c r="J199" s="37"/>
      <c r="K199" s="37"/>
      <c r="L199" s="37"/>
    </row>
    <row r="200" spans="4:12" ht="15.75" customHeight="1">
      <c r="D200" s="37"/>
      <c r="E200" s="37"/>
      <c r="F200" s="37"/>
      <c r="G200" s="37"/>
      <c r="H200" s="37"/>
      <c r="I200" s="37"/>
      <c r="J200" s="37"/>
      <c r="K200" s="37"/>
      <c r="L200" s="37"/>
    </row>
    <row r="201" spans="4:12" ht="15.75" customHeight="1">
      <c r="D201" s="37"/>
      <c r="E201" s="37"/>
      <c r="F201" s="37"/>
      <c r="G201" s="37"/>
      <c r="H201" s="37"/>
      <c r="I201" s="37"/>
      <c r="J201" s="37"/>
      <c r="K201" s="37"/>
      <c r="L201" s="37"/>
    </row>
    <row r="202" spans="4:12" ht="15.75" customHeight="1">
      <c r="D202" s="37"/>
      <c r="E202" s="37"/>
      <c r="F202" s="37"/>
      <c r="G202" s="37"/>
      <c r="H202" s="37"/>
      <c r="I202" s="37"/>
      <c r="J202" s="37"/>
      <c r="K202" s="37"/>
      <c r="L202" s="37"/>
    </row>
    <row r="203" spans="4:12" ht="15.75" customHeight="1">
      <c r="D203" s="37"/>
      <c r="E203" s="37"/>
      <c r="F203" s="37"/>
      <c r="G203" s="37"/>
      <c r="H203" s="37"/>
      <c r="I203" s="37"/>
      <c r="J203" s="37"/>
      <c r="K203" s="37"/>
      <c r="L203" s="37"/>
    </row>
    <row r="204" spans="4:12" ht="15.75" customHeight="1">
      <c r="D204" s="37"/>
      <c r="E204" s="37"/>
      <c r="F204" s="37"/>
      <c r="G204" s="37"/>
      <c r="H204" s="37"/>
      <c r="I204" s="37"/>
      <c r="J204" s="37"/>
      <c r="K204" s="37"/>
      <c r="L204" s="37"/>
    </row>
    <row r="205" spans="4:12" ht="15.75" customHeight="1">
      <c r="D205" s="37"/>
      <c r="E205" s="37"/>
      <c r="F205" s="37"/>
      <c r="G205" s="37"/>
      <c r="H205" s="37"/>
      <c r="I205" s="37"/>
      <c r="J205" s="37"/>
      <c r="K205" s="37"/>
      <c r="L205" s="37"/>
    </row>
    <row r="206" spans="4:12" ht="15.75" customHeight="1">
      <c r="D206" s="37"/>
      <c r="E206" s="37"/>
      <c r="F206" s="37"/>
      <c r="G206" s="37"/>
      <c r="H206" s="37"/>
      <c r="I206" s="37"/>
      <c r="J206" s="37"/>
      <c r="K206" s="37"/>
      <c r="L206" s="37"/>
    </row>
    <row r="207" spans="4:12" ht="15.75" customHeight="1">
      <c r="D207" s="37"/>
      <c r="E207" s="37"/>
      <c r="F207" s="37"/>
      <c r="G207" s="37"/>
      <c r="H207" s="37"/>
      <c r="I207" s="37"/>
      <c r="J207" s="37"/>
      <c r="K207" s="37"/>
      <c r="L207" s="37"/>
    </row>
    <row r="208" spans="4:12" ht="15.75" customHeight="1">
      <c r="D208" s="37"/>
      <c r="E208" s="37"/>
      <c r="F208" s="37"/>
      <c r="G208" s="37"/>
      <c r="H208" s="37"/>
      <c r="I208" s="37"/>
      <c r="J208" s="37"/>
      <c r="K208" s="37"/>
      <c r="L208" s="37"/>
    </row>
    <row r="209" spans="4:12" ht="15.75" customHeight="1">
      <c r="D209" s="37"/>
      <c r="E209" s="37"/>
      <c r="F209" s="37"/>
      <c r="G209" s="37"/>
      <c r="H209" s="37"/>
      <c r="I209" s="37"/>
      <c r="J209" s="37"/>
      <c r="K209" s="37"/>
      <c r="L209" s="37"/>
    </row>
    <row r="210" spans="4:12" ht="15.75" customHeight="1">
      <c r="D210" s="37"/>
      <c r="E210" s="37"/>
      <c r="F210" s="37"/>
      <c r="G210" s="37"/>
      <c r="H210" s="37"/>
      <c r="I210" s="37"/>
      <c r="J210" s="37"/>
      <c r="K210" s="37"/>
      <c r="L210" s="37"/>
    </row>
    <row r="211" spans="4:12" ht="15.75" customHeight="1">
      <c r="D211" s="37"/>
      <c r="E211" s="37"/>
      <c r="F211" s="37"/>
      <c r="G211" s="37"/>
      <c r="H211" s="37"/>
      <c r="I211" s="37"/>
      <c r="J211" s="37"/>
      <c r="K211" s="37"/>
      <c r="L211" s="37"/>
    </row>
    <row r="212" spans="4:12" ht="15.75" customHeight="1">
      <c r="D212" s="37"/>
      <c r="E212" s="37"/>
      <c r="F212" s="37"/>
      <c r="G212" s="37"/>
      <c r="H212" s="37"/>
      <c r="I212" s="37"/>
      <c r="J212" s="37"/>
      <c r="K212" s="37"/>
      <c r="L212" s="37"/>
    </row>
    <row r="213" spans="4:12" ht="15.75" customHeight="1">
      <c r="D213" s="37"/>
      <c r="E213" s="37"/>
      <c r="F213" s="37"/>
      <c r="G213" s="37"/>
      <c r="H213" s="37"/>
      <c r="I213" s="37"/>
      <c r="J213" s="37"/>
      <c r="K213" s="37"/>
      <c r="L213" s="37"/>
    </row>
    <row r="214" spans="4:12" ht="15.75" customHeight="1">
      <c r="D214" s="37"/>
      <c r="E214" s="37"/>
      <c r="F214" s="37"/>
      <c r="G214" s="37"/>
      <c r="H214" s="37"/>
      <c r="I214" s="37"/>
      <c r="J214" s="37"/>
      <c r="K214" s="37"/>
      <c r="L214" s="37"/>
    </row>
    <row r="215" spans="4:12" ht="15.75" customHeight="1">
      <c r="D215" s="37"/>
      <c r="E215" s="37"/>
      <c r="F215" s="37"/>
      <c r="G215" s="37"/>
      <c r="H215" s="37"/>
      <c r="I215" s="37"/>
      <c r="J215" s="37"/>
      <c r="K215" s="37"/>
      <c r="L215" s="37"/>
    </row>
    <row r="216" spans="4:12" ht="15.75" customHeight="1">
      <c r="D216" s="37"/>
      <c r="E216" s="37"/>
      <c r="F216" s="37"/>
      <c r="G216" s="37"/>
      <c r="H216" s="37"/>
      <c r="I216" s="37"/>
      <c r="J216" s="37"/>
      <c r="K216" s="37"/>
      <c r="L216" s="37"/>
    </row>
    <row r="217" spans="4:12" ht="15.75" customHeight="1">
      <c r="D217" s="37"/>
      <c r="E217" s="37"/>
      <c r="F217" s="37"/>
      <c r="G217" s="37"/>
      <c r="H217" s="37"/>
      <c r="I217" s="37"/>
      <c r="J217" s="37"/>
      <c r="K217" s="37"/>
      <c r="L217" s="37"/>
    </row>
    <row r="218" spans="4:12" ht="15.75" customHeight="1">
      <c r="D218" s="37"/>
      <c r="E218" s="37"/>
      <c r="F218" s="37"/>
      <c r="G218" s="37"/>
      <c r="H218" s="37"/>
      <c r="I218" s="37"/>
      <c r="J218" s="37"/>
      <c r="K218" s="37"/>
      <c r="L218" s="37"/>
    </row>
    <row r="219" spans="4:12" ht="15.75" customHeight="1">
      <c r="D219" s="37"/>
      <c r="E219" s="37"/>
      <c r="F219" s="37"/>
      <c r="G219" s="37"/>
      <c r="H219" s="37"/>
      <c r="I219" s="37"/>
      <c r="J219" s="37"/>
      <c r="K219" s="37"/>
      <c r="L219" s="37"/>
    </row>
    <row r="220" spans="4:12" ht="15.75" customHeight="1">
      <c r="D220" s="37"/>
      <c r="E220" s="37"/>
      <c r="F220" s="37"/>
      <c r="G220" s="37"/>
      <c r="H220" s="37"/>
      <c r="I220" s="37"/>
      <c r="J220" s="37"/>
      <c r="K220" s="37"/>
      <c r="L220" s="37"/>
    </row>
    <row r="221" spans="4:12" ht="15.75" customHeight="1">
      <c r="D221" s="37"/>
      <c r="E221" s="37"/>
      <c r="F221" s="37"/>
      <c r="G221" s="37"/>
      <c r="H221" s="37"/>
      <c r="I221" s="37"/>
      <c r="J221" s="37"/>
      <c r="K221" s="37"/>
      <c r="L221" s="37"/>
    </row>
    <row r="222" spans="4:12" ht="15.75" customHeight="1">
      <c r="D222" s="37"/>
      <c r="E222" s="37"/>
      <c r="F222" s="37"/>
      <c r="G222" s="37"/>
      <c r="H222" s="37"/>
      <c r="I222" s="37"/>
      <c r="J222" s="37"/>
      <c r="K222" s="37"/>
      <c r="L222" s="37"/>
    </row>
    <row r="223" spans="4:12" ht="15.75" customHeight="1">
      <c r="D223" s="37"/>
      <c r="E223" s="37"/>
      <c r="F223" s="37"/>
      <c r="G223" s="37"/>
      <c r="H223" s="37"/>
      <c r="I223" s="37"/>
      <c r="J223" s="37"/>
      <c r="K223" s="37"/>
      <c r="L223" s="37"/>
    </row>
    <row r="224" spans="4:12" ht="15.75" customHeight="1">
      <c r="D224" s="37"/>
      <c r="E224" s="37"/>
      <c r="F224" s="37"/>
      <c r="G224" s="37"/>
      <c r="H224" s="37"/>
      <c r="I224" s="37"/>
      <c r="J224" s="37"/>
      <c r="K224" s="37"/>
      <c r="L224" s="37"/>
    </row>
    <row r="225" spans="4:12" ht="15.75" customHeight="1">
      <c r="D225" s="37"/>
      <c r="E225" s="37"/>
      <c r="F225" s="37"/>
      <c r="G225" s="37"/>
      <c r="H225" s="37"/>
      <c r="I225" s="37"/>
      <c r="J225" s="37"/>
      <c r="K225" s="37"/>
      <c r="L225" s="37"/>
    </row>
    <row r="226" spans="4:12" ht="15.75" customHeight="1">
      <c r="D226" s="37"/>
      <c r="E226" s="37"/>
      <c r="F226" s="37"/>
      <c r="G226" s="37"/>
      <c r="H226" s="37"/>
      <c r="I226" s="37"/>
      <c r="J226" s="37"/>
      <c r="K226" s="37"/>
      <c r="L226" s="37"/>
    </row>
    <row r="227" spans="4:12" ht="15.75" customHeight="1">
      <c r="D227" s="37"/>
      <c r="E227" s="37"/>
      <c r="F227" s="37"/>
      <c r="G227" s="37"/>
      <c r="H227" s="37"/>
      <c r="I227" s="37"/>
      <c r="J227" s="37"/>
      <c r="K227" s="37"/>
      <c r="L227" s="37"/>
    </row>
    <row r="228" spans="4:12" ht="15.75" customHeight="1">
      <c r="D228" s="37"/>
      <c r="E228" s="37"/>
      <c r="F228" s="37"/>
      <c r="G228" s="37"/>
      <c r="H228" s="37"/>
      <c r="I228" s="37"/>
      <c r="J228" s="37"/>
      <c r="K228" s="37"/>
      <c r="L228" s="37"/>
    </row>
    <row r="229" spans="4:12" ht="15.75" customHeight="1">
      <c r="D229" s="37"/>
      <c r="E229" s="37"/>
      <c r="F229" s="37"/>
      <c r="G229" s="37"/>
      <c r="H229" s="37"/>
      <c r="I229" s="37"/>
      <c r="J229" s="37"/>
      <c r="K229" s="37"/>
      <c r="L229" s="37"/>
    </row>
    <row r="230" spans="4:12" ht="15.75" customHeight="1">
      <c r="D230" s="37"/>
      <c r="E230" s="37"/>
      <c r="F230" s="37"/>
      <c r="G230" s="37"/>
      <c r="H230" s="37"/>
      <c r="I230" s="37"/>
      <c r="J230" s="37"/>
      <c r="K230" s="37"/>
      <c r="L230" s="37"/>
    </row>
    <row r="231" spans="4:12" ht="15.75" customHeight="1">
      <c r="D231" s="37"/>
      <c r="E231" s="37"/>
      <c r="F231" s="37"/>
      <c r="G231" s="37"/>
      <c r="H231" s="37"/>
      <c r="I231" s="37"/>
      <c r="J231" s="37"/>
      <c r="K231" s="37"/>
      <c r="L231" s="37"/>
    </row>
    <row r="232" spans="4:12" ht="15.75" customHeight="1">
      <c r="D232" s="37"/>
      <c r="E232" s="37"/>
      <c r="F232" s="37"/>
      <c r="G232" s="37"/>
      <c r="H232" s="37"/>
      <c r="I232" s="37"/>
      <c r="J232" s="37"/>
      <c r="K232" s="37"/>
      <c r="L232" s="37"/>
    </row>
    <row r="233" spans="4:12" ht="15.75" customHeight="1">
      <c r="D233" s="37"/>
      <c r="E233" s="37"/>
      <c r="F233" s="37"/>
      <c r="G233" s="37"/>
      <c r="H233" s="37"/>
      <c r="I233" s="37"/>
      <c r="J233" s="37"/>
      <c r="K233" s="37"/>
      <c r="L233" s="37"/>
    </row>
    <row r="234" spans="4:12" ht="15.75" customHeight="1">
      <c r="D234" s="37"/>
      <c r="E234" s="37"/>
      <c r="F234" s="37"/>
      <c r="G234" s="37"/>
      <c r="H234" s="37"/>
      <c r="I234" s="37"/>
      <c r="J234" s="37"/>
      <c r="K234" s="37"/>
      <c r="L234" s="37"/>
    </row>
    <row r="235" spans="4:12" ht="15.75" customHeight="1"/>
    <row r="236" spans="4:12" ht="15.75" customHeight="1"/>
    <row r="237" spans="4:12" ht="15.75" customHeight="1"/>
    <row r="238" spans="4:12" ht="15.75" customHeight="1"/>
    <row r="239" spans="4:12" ht="15.75" customHeight="1"/>
    <row r="240" spans="4: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34:L34"/>
    <mergeCell ref="A1:A3"/>
    <mergeCell ref="A26:C27"/>
    <mergeCell ref="J26:L28"/>
    <mergeCell ref="A28:C28"/>
    <mergeCell ref="D28:I28"/>
    <mergeCell ref="A29:L29"/>
    <mergeCell ref="A30:L30"/>
    <mergeCell ref="A5:L5"/>
    <mergeCell ref="A6:J6"/>
    <mergeCell ref="A31:L31"/>
    <mergeCell ref="A32:L32"/>
    <mergeCell ref="A33:L33"/>
    <mergeCell ref="B1:J3"/>
    <mergeCell ref="K1:L1"/>
    <mergeCell ref="K2:L2"/>
    <mergeCell ref="K3:L3"/>
    <mergeCell ref="B4:L4"/>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9DAF8"/>
  </sheetPr>
  <dimension ref="A1:AB1000"/>
  <sheetViews>
    <sheetView workbookViewId="0">
      <selection sqref="A1:A3"/>
    </sheetView>
  </sheetViews>
  <sheetFormatPr baseColWidth="10" defaultColWidth="14.42578125" defaultRowHeight="15" customHeight="1"/>
  <cols>
    <col min="1" max="1" width="27.5703125" customWidth="1"/>
    <col min="2" max="2" width="16.28515625" customWidth="1"/>
    <col min="3" max="3" width="8.85546875" customWidth="1"/>
    <col min="4" max="4" width="16.28515625" customWidth="1"/>
    <col min="5" max="5" width="16.85546875" customWidth="1"/>
    <col min="6" max="6" width="17.5703125" customWidth="1"/>
    <col min="7" max="7" width="27.140625" customWidth="1"/>
    <col min="8" max="8" width="30.85546875" customWidth="1"/>
    <col min="9" max="9" width="16.28515625" customWidth="1"/>
    <col min="10" max="28" width="8" customWidth="1"/>
  </cols>
  <sheetData>
    <row r="1" spans="1:28" ht="21" customHeight="1">
      <c r="A1" s="127"/>
      <c r="B1" s="129" t="s">
        <v>55</v>
      </c>
      <c r="C1" s="130"/>
      <c r="D1" s="130"/>
      <c r="E1" s="130"/>
      <c r="F1" s="130"/>
      <c r="G1" s="131"/>
      <c r="H1" s="62" t="s">
        <v>56</v>
      </c>
    </row>
    <row r="2" spans="1:28" ht="21" customHeight="1">
      <c r="A2" s="128"/>
      <c r="B2" s="132"/>
      <c r="C2" s="128"/>
      <c r="D2" s="128"/>
      <c r="E2" s="128"/>
      <c r="F2" s="128"/>
      <c r="G2" s="133"/>
      <c r="H2" s="62" t="s">
        <v>2</v>
      </c>
    </row>
    <row r="3" spans="1:28" ht="21" customHeight="1">
      <c r="A3" s="135"/>
      <c r="B3" s="134"/>
      <c r="C3" s="135"/>
      <c r="D3" s="135"/>
      <c r="E3" s="135"/>
      <c r="F3" s="135"/>
      <c r="G3" s="136"/>
      <c r="H3" s="62" t="s">
        <v>3</v>
      </c>
    </row>
    <row r="4" spans="1:28" ht="42" customHeight="1">
      <c r="A4" s="63" t="s">
        <v>4</v>
      </c>
      <c r="B4" s="170" t="s">
        <v>5</v>
      </c>
      <c r="C4" s="140"/>
      <c r="D4" s="140"/>
      <c r="E4" s="140"/>
      <c r="F4" s="140"/>
      <c r="G4" s="140"/>
      <c r="H4" s="138"/>
      <c r="I4" s="64"/>
      <c r="J4" s="64"/>
      <c r="K4" s="64"/>
      <c r="L4" s="64"/>
      <c r="M4" s="64"/>
      <c r="N4" s="64"/>
      <c r="O4" s="64"/>
      <c r="P4" s="64"/>
      <c r="Q4" s="64"/>
      <c r="R4" s="64"/>
      <c r="S4" s="64"/>
      <c r="T4" s="64"/>
      <c r="U4" s="64"/>
      <c r="V4" s="64"/>
      <c r="W4" s="64"/>
      <c r="X4" s="64"/>
      <c r="Y4" s="64"/>
      <c r="Z4" s="64"/>
      <c r="AA4" s="64"/>
      <c r="AB4" s="64"/>
    </row>
    <row r="5" spans="1:28" ht="42" customHeight="1">
      <c r="A5" s="141" t="s">
        <v>57</v>
      </c>
      <c r="B5" s="140"/>
      <c r="C5" s="140"/>
      <c r="D5" s="140"/>
      <c r="E5" s="140"/>
      <c r="F5" s="140"/>
      <c r="G5" s="140"/>
      <c r="H5" s="138"/>
      <c r="I5" s="64"/>
      <c r="J5" s="64"/>
      <c r="K5" s="64"/>
      <c r="L5" s="64"/>
      <c r="M5" s="64"/>
      <c r="N5" s="64"/>
      <c r="O5" s="64"/>
      <c r="P5" s="64"/>
      <c r="Q5" s="64"/>
      <c r="R5" s="64"/>
      <c r="S5" s="64"/>
      <c r="T5" s="64"/>
      <c r="U5" s="64"/>
      <c r="V5" s="64"/>
      <c r="W5" s="64"/>
      <c r="X5" s="64"/>
      <c r="Y5" s="64"/>
      <c r="Z5" s="64"/>
      <c r="AA5" s="64"/>
      <c r="AB5" s="64"/>
    </row>
    <row r="6" spans="1:28" ht="42" customHeight="1">
      <c r="A6" s="141" t="s">
        <v>7</v>
      </c>
      <c r="B6" s="140"/>
      <c r="C6" s="140"/>
      <c r="D6" s="140"/>
      <c r="E6" s="140"/>
      <c r="F6" s="140"/>
      <c r="G6" s="138"/>
      <c r="H6" s="2" t="s">
        <v>58</v>
      </c>
      <c r="I6" s="64"/>
      <c r="J6" s="64"/>
      <c r="K6" s="64"/>
      <c r="L6" s="64"/>
      <c r="M6" s="64"/>
      <c r="N6" s="64"/>
      <c r="O6" s="64"/>
      <c r="P6" s="64"/>
      <c r="Q6" s="64"/>
      <c r="R6" s="64"/>
      <c r="S6" s="64"/>
      <c r="T6" s="64"/>
      <c r="U6" s="64"/>
      <c r="V6" s="64"/>
      <c r="W6" s="64"/>
      <c r="X6" s="64"/>
      <c r="Y6" s="64"/>
      <c r="Z6" s="64"/>
      <c r="AA6" s="64"/>
      <c r="AB6" s="64"/>
    </row>
    <row r="7" spans="1:28" ht="48">
      <c r="A7" s="40" t="s">
        <v>11</v>
      </c>
      <c r="B7" s="40" t="s">
        <v>12</v>
      </c>
      <c r="C7" s="40" t="s">
        <v>38</v>
      </c>
      <c r="D7" s="40" t="s">
        <v>59</v>
      </c>
      <c r="E7" s="40" t="s">
        <v>60</v>
      </c>
      <c r="F7" s="41" t="s">
        <v>61</v>
      </c>
      <c r="G7" s="41" t="s">
        <v>62</v>
      </c>
      <c r="H7" s="41" t="s">
        <v>19</v>
      </c>
      <c r="I7" s="113" t="s">
        <v>21</v>
      </c>
    </row>
    <row r="8" spans="1:28">
      <c r="A8" s="120"/>
      <c r="B8" s="68"/>
      <c r="C8" s="14"/>
      <c r="D8" s="14"/>
      <c r="E8" s="14"/>
      <c r="F8" s="14"/>
      <c r="G8" s="14"/>
      <c r="H8" s="14"/>
      <c r="I8" s="114"/>
    </row>
    <row r="9" spans="1:28" ht="16.5" customHeight="1">
      <c r="A9" s="120"/>
      <c r="B9" s="68"/>
      <c r="C9" s="14"/>
      <c r="D9" s="14"/>
      <c r="E9" s="14"/>
      <c r="F9" s="14"/>
      <c r="G9" s="14"/>
      <c r="H9" s="14"/>
      <c r="I9" s="10"/>
    </row>
    <row r="10" spans="1:28">
      <c r="A10" s="120"/>
      <c r="B10" s="68"/>
      <c r="C10" s="14"/>
      <c r="D10" s="14"/>
      <c r="E10" s="14"/>
      <c r="F10" s="14"/>
      <c r="G10" s="14"/>
      <c r="H10" s="14"/>
      <c r="I10" s="66"/>
    </row>
    <row r="11" spans="1:28">
      <c r="A11" s="120"/>
      <c r="B11" s="68"/>
      <c r="C11" s="14"/>
      <c r="D11" s="14"/>
      <c r="E11" s="14"/>
      <c r="F11" s="14"/>
      <c r="G11" s="14"/>
      <c r="H11" s="14"/>
      <c r="I11" s="10"/>
    </row>
    <row r="12" spans="1:28">
      <c r="A12" s="120"/>
      <c r="B12" s="85"/>
      <c r="C12" s="14"/>
      <c r="D12" s="14"/>
      <c r="E12" s="14"/>
      <c r="F12" s="14"/>
      <c r="G12" s="14"/>
      <c r="H12" s="14"/>
      <c r="I12" s="66"/>
    </row>
    <row r="13" spans="1:28">
      <c r="A13" s="120"/>
      <c r="B13" s="85"/>
      <c r="C13" s="14"/>
      <c r="D13" s="14"/>
      <c r="E13" s="14"/>
      <c r="F13" s="14"/>
      <c r="G13" s="14"/>
      <c r="H13" s="14"/>
      <c r="I13" s="66"/>
    </row>
    <row r="14" spans="1:28">
      <c r="A14" s="120"/>
      <c r="B14" s="85"/>
      <c r="C14" s="14"/>
      <c r="D14" s="14"/>
      <c r="E14" s="14"/>
      <c r="F14" s="14"/>
      <c r="G14" s="14"/>
      <c r="H14" s="14"/>
      <c r="I14" s="10"/>
    </row>
    <row r="15" spans="1:28">
      <c r="A15" s="120"/>
      <c r="B15" s="84"/>
      <c r="C15" s="14"/>
      <c r="D15" s="14"/>
      <c r="E15" s="14"/>
      <c r="F15" s="14"/>
      <c r="G15" s="14"/>
      <c r="H15" s="14"/>
      <c r="I15" s="10"/>
    </row>
    <row r="16" spans="1:28">
      <c r="A16" s="120"/>
      <c r="B16" s="84"/>
      <c r="C16" s="14"/>
      <c r="D16" s="14"/>
      <c r="E16" s="14"/>
      <c r="F16" s="14"/>
      <c r="G16" s="14"/>
      <c r="H16" s="14"/>
      <c r="I16" s="10"/>
    </row>
    <row r="17" spans="1:28">
      <c r="A17" s="120"/>
      <c r="B17" s="84"/>
      <c r="C17" s="14"/>
      <c r="D17" s="14"/>
      <c r="E17" s="14"/>
      <c r="F17" s="14"/>
      <c r="G17" s="14"/>
      <c r="H17" s="14"/>
      <c r="I17" s="10"/>
    </row>
    <row r="18" spans="1:28">
      <c r="A18" s="124"/>
      <c r="B18" s="84"/>
      <c r="C18" s="14"/>
      <c r="D18" s="14"/>
      <c r="E18" s="14"/>
      <c r="F18" s="14"/>
      <c r="G18" s="14"/>
      <c r="H18" s="14"/>
      <c r="I18" s="10"/>
    </row>
    <row r="19" spans="1:28">
      <c r="A19" s="124"/>
      <c r="B19" s="84"/>
      <c r="C19" s="14"/>
      <c r="D19" s="14"/>
      <c r="E19" s="14"/>
      <c r="F19" s="14"/>
      <c r="G19" s="14"/>
      <c r="H19" s="14"/>
    </row>
    <row r="20" spans="1:28">
      <c r="A20" s="124"/>
      <c r="B20" s="84"/>
      <c r="C20" s="14"/>
      <c r="D20" s="14"/>
      <c r="E20" s="14"/>
      <c r="F20" s="14"/>
      <c r="G20" s="14"/>
      <c r="H20" s="14"/>
    </row>
    <row r="21" spans="1:28" ht="16.5" customHeight="1">
      <c r="A21" s="101"/>
      <c r="B21" s="84"/>
      <c r="C21" s="14"/>
      <c r="D21" s="82"/>
      <c r="E21" s="82"/>
      <c r="F21" s="82"/>
      <c r="G21" s="82"/>
      <c r="H21" s="82"/>
    </row>
    <row r="22" spans="1:28" ht="16.5" customHeight="1">
      <c r="A22" s="101"/>
      <c r="B22" s="85"/>
      <c r="C22" s="9"/>
      <c r="D22" s="18"/>
      <c r="E22" s="18"/>
      <c r="F22" s="18"/>
      <c r="G22" s="10"/>
      <c r="H22" s="10"/>
      <c r="I22" s="37"/>
      <c r="J22" s="37"/>
      <c r="K22" s="37"/>
      <c r="L22" s="37"/>
      <c r="M22" s="37"/>
      <c r="N22" s="37"/>
      <c r="O22" s="37"/>
      <c r="P22" s="37"/>
      <c r="Q22" s="37"/>
      <c r="R22" s="37"/>
      <c r="S22" s="37"/>
      <c r="T22" s="37"/>
      <c r="U22" s="37"/>
      <c r="V22" s="37"/>
      <c r="W22" s="37"/>
      <c r="X22" s="37"/>
      <c r="Y22" s="37"/>
      <c r="Z22" s="37"/>
      <c r="AA22" s="37"/>
      <c r="AB22" s="37"/>
    </row>
    <row r="23" spans="1:28" ht="16.5" customHeight="1">
      <c r="A23" s="58"/>
      <c r="B23" s="25"/>
      <c r="C23" s="59"/>
      <c r="D23" s="110"/>
      <c r="E23" s="110"/>
      <c r="F23" s="110"/>
      <c r="G23" s="10"/>
      <c r="H23" s="10"/>
      <c r="I23" s="37"/>
      <c r="J23" s="37"/>
      <c r="K23" s="37"/>
      <c r="L23" s="37"/>
      <c r="M23" s="37"/>
      <c r="N23" s="37"/>
      <c r="O23" s="37"/>
      <c r="P23" s="37"/>
      <c r="Q23" s="37"/>
      <c r="R23" s="37"/>
      <c r="S23" s="37"/>
      <c r="T23" s="37"/>
      <c r="U23" s="37"/>
      <c r="V23" s="37"/>
      <c r="W23" s="37"/>
      <c r="X23" s="37"/>
      <c r="Y23" s="37"/>
      <c r="Z23" s="37"/>
      <c r="AA23" s="37"/>
      <c r="AB23" s="37"/>
    </row>
    <row r="24" spans="1:28" ht="16.5" customHeight="1">
      <c r="A24" s="58"/>
      <c r="B24" s="25"/>
      <c r="C24" s="59"/>
      <c r="D24" s="110"/>
      <c r="E24" s="110"/>
      <c r="F24" s="110"/>
      <c r="G24" s="10"/>
      <c r="H24" s="10"/>
      <c r="I24" s="37"/>
      <c r="J24" s="37"/>
      <c r="K24" s="37"/>
      <c r="L24" s="37"/>
      <c r="M24" s="37"/>
      <c r="N24" s="37"/>
      <c r="O24" s="37"/>
      <c r="P24" s="37"/>
      <c r="Q24" s="37"/>
      <c r="R24" s="37"/>
      <c r="S24" s="37"/>
      <c r="T24" s="37"/>
      <c r="U24" s="37"/>
      <c r="V24" s="37"/>
      <c r="W24" s="37"/>
      <c r="X24" s="37"/>
      <c r="Y24" s="37"/>
      <c r="Z24" s="37"/>
      <c r="AA24" s="37"/>
      <c r="AB24" s="37"/>
    </row>
    <row r="25" spans="1:28" ht="16.5" customHeight="1">
      <c r="A25" s="58"/>
      <c r="B25" s="25"/>
      <c r="C25" s="59"/>
      <c r="D25" s="110"/>
      <c r="E25" s="110"/>
      <c r="F25" s="110"/>
      <c r="G25" s="10"/>
      <c r="H25" s="10"/>
      <c r="I25" s="37"/>
      <c r="J25" s="37"/>
      <c r="K25" s="37"/>
      <c r="L25" s="37"/>
      <c r="M25" s="37"/>
      <c r="N25" s="37"/>
      <c r="O25" s="37"/>
      <c r="P25" s="37"/>
      <c r="Q25" s="37"/>
      <c r="R25" s="37"/>
      <c r="S25" s="37"/>
      <c r="T25" s="37"/>
      <c r="U25" s="37"/>
      <c r="V25" s="37"/>
      <c r="W25" s="37"/>
      <c r="X25" s="37"/>
      <c r="Y25" s="37"/>
      <c r="Z25" s="37"/>
      <c r="AA25" s="37"/>
      <c r="AB25" s="37"/>
    </row>
    <row r="26" spans="1:28" ht="16.5" customHeight="1">
      <c r="A26" s="58"/>
      <c r="B26" s="25"/>
      <c r="C26" s="59"/>
      <c r="D26" s="110"/>
      <c r="E26" s="110"/>
      <c r="F26" s="110"/>
      <c r="G26" s="10"/>
      <c r="H26" s="10"/>
      <c r="I26" s="37"/>
      <c r="J26" s="37"/>
      <c r="K26" s="37"/>
      <c r="L26" s="37"/>
      <c r="M26" s="37"/>
      <c r="N26" s="37"/>
      <c r="O26" s="37"/>
      <c r="P26" s="37"/>
      <c r="Q26" s="37"/>
      <c r="R26" s="37"/>
      <c r="S26" s="37"/>
      <c r="T26" s="37"/>
      <c r="U26" s="37"/>
      <c r="V26" s="37"/>
      <c r="W26" s="37"/>
      <c r="X26" s="37"/>
      <c r="Y26" s="37"/>
      <c r="Z26" s="37"/>
      <c r="AA26" s="37"/>
      <c r="AB26" s="37"/>
    </row>
    <row r="27" spans="1:28" ht="15.75" customHeight="1">
      <c r="A27" s="116"/>
      <c r="B27" s="25"/>
      <c r="C27" s="59"/>
      <c r="D27" s="53"/>
      <c r="E27" s="53"/>
      <c r="F27" s="53"/>
      <c r="G27" s="10"/>
      <c r="H27" s="10"/>
      <c r="I27" s="37"/>
      <c r="J27" s="37"/>
      <c r="K27" s="37"/>
      <c r="L27" s="37"/>
      <c r="M27" s="37"/>
      <c r="N27" s="37"/>
      <c r="O27" s="37"/>
      <c r="P27" s="37"/>
      <c r="Q27" s="37"/>
      <c r="R27" s="37"/>
      <c r="S27" s="37"/>
      <c r="T27" s="37"/>
      <c r="U27" s="37"/>
      <c r="V27" s="37"/>
      <c r="W27" s="37"/>
      <c r="X27" s="37"/>
      <c r="Y27" s="37"/>
      <c r="Z27" s="37"/>
      <c r="AA27" s="37"/>
      <c r="AB27" s="37"/>
    </row>
    <row r="28" spans="1:28" ht="15.75" customHeight="1">
      <c r="A28" s="116"/>
      <c r="B28" s="25"/>
      <c r="C28" s="59"/>
      <c r="D28" s="53"/>
      <c r="E28" s="53"/>
      <c r="F28" s="53"/>
      <c r="G28" s="10"/>
      <c r="H28" s="10"/>
    </row>
    <row r="29" spans="1:28" ht="15.75" customHeight="1">
      <c r="A29" s="116"/>
      <c r="B29" s="25"/>
      <c r="C29" s="73"/>
      <c r="D29" s="75"/>
      <c r="E29" s="75"/>
      <c r="F29" s="75"/>
      <c r="G29" s="89"/>
      <c r="H29" s="10"/>
    </row>
    <row r="30" spans="1:28" ht="15.75" customHeight="1">
      <c r="A30" s="116"/>
      <c r="B30" s="25"/>
      <c r="C30" s="59"/>
      <c r="D30" s="53"/>
      <c r="E30" s="53"/>
      <c r="F30" s="53"/>
      <c r="G30" s="19"/>
      <c r="H30" s="19"/>
    </row>
    <row r="31" spans="1:28" ht="15.75" customHeight="1">
      <c r="A31" s="116"/>
      <c r="B31" s="25"/>
      <c r="C31" s="59"/>
      <c r="D31" s="53"/>
      <c r="E31" s="53"/>
      <c r="F31" s="53"/>
      <c r="G31" s="19"/>
      <c r="H31" s="19"/>
    </row>
    <row r="32" spans="1:28" ht="15.75" customHeight="1">
      <c r="A32" s="116"/>
      <c r="B32" s="117"/>
      <c r="C32" s="59"/>
      <c r="D32" s="53"/>
      <c r="E32" s="53"/>
      <c r="F32" s="53"/>
      <c r="G32" s="19"/>
      <c r="H32" s="19"/>
    </row>
    <row r="33" spans="1:8" ht="15.75" customHeight="1">
      <c r="A33" s="116"/>
      <c r="B33" s="117"/>
      <c r="C33" s="59"/>
      <c r="D33" s="53"/>
      <c r="E33" s="53"/>
      <c r="F33" s="53"/>
      <c r="G33" s="19"/>
      <c r="H33" s="19"/>
    </row>
    <row r="34" spans="1:8" ht="15.75" customHeight="1">
      <c r="A34" s="116"/>
      <c r="B34" s="25"/>
      <c r="C34" s="59"/>
      <c r="D34" s="53"/>
      <c r="E34" s="53"/>
      <c r="F34" s="53"/>
      <c r="G34" s="19"/>
      <c r="H34" s="19"/>
    </row>
    <row r="35" spans="1:8" ht="15.75" customHeight="1">
      <c r="A35" s="116"/>
      <c r="B35" s="118"/>
      <c r="C35" s="59"/>
      <c r="D35" s="53"/>
      <c r="E35" s="53"/>
      <c r="F35" s="53"/>
      <c r="G35" s="19"/>
      <c r="H35" s="19"/>
    </row>
    <row r="36" spans="1:8" ht="15.75" customHeight="1">
      <c r="A36" s="116"/>
      <c r="B36" s="25"/>
      <c r="C36" s="59"/>
      <c r="D36" s="53"/>
      <c r="E36" s="53"/>
      <c r="F36" s="53"/>
      <c r="G36" s="19"/>
      <c r="H36" s="19"/>
    </row>
    <row r="37" spans="1:8" ht="15.75" customHeight="1">
      <c r="A37" s="116"/>
      <c r="B37" s="10"/>
      <c r="C37" s="59"/>
      <c r="D37" s="53"/>
      <c r="E37" s="53"/>
      <c r="F37" s="53"/>
      <c r="G37" s="19"/>
      <c r="H37" s="19"/>
    </row>
    <row r="38" spans="1:8" ht="15.75" customHeight="1">
      <c r="A38" s="119"/>
      <c r="B38" s="89"/>
      <c r="C38" s="73"/>
      <c r="D38" s="75"/>
      <c r="E38" s="75"/>
      <c r="F38" s="75"/>
      <c r="G38" s="76"/>
      <c r="H38" s="19"/>
    </row>
    <row r="39" spans="1:8" ht="15.75" customHeight="1">
      <c r="A39" s="150">
        <f>SUM(C9:C38)</f>
        <v>0</v>
      </c>
      <c r="B39" s="130"/>
      <c r="C39" s="131"/>
      <c r="D39" s="60">
        <f t="shared" ref="D39:G39" si="0">(COUNTIF(D8:D38,"SI")*1+COUNTIF(D8:D38,"NO")*0+COUNTIF(D8:D38,"NA")*0)</f>
        <v>0</v>
      </c>
      <c r="E39" s="60">
        <f t="shared" si="0"/>
        <v>0</v>
      </c>
      <c r="F39" s="60">
        <f t="shared" si="0"/>
        <v>0</v>
      </c>
      <c r="G39" s="60">
        <f t="shared" si="0"/>
        <v>0</v>
      </c>
      <c r="H39" s="177"/>
    </row>
    <row r="40" spans="1:8" ht="15.75" customHeight="1">
      <c r="A40" s="134"/>
      <c r="B40" s="135"/>
      <c r="C40" s="136"/>
      <c r="D40" s="61" t="e">
        <f>(D39/A39)*100</f>
        <v>#DIV/0!</v>
      </c>
      <c r="E40" s="61" t="e">
        <f>(E39/A39)*100</f>
        <v>#DIV/0!</v>
      </c>
      <c r="F40" s="61" t="e">
        <f>(F39/A39)*100</f>
        <v>#DIV/0!</v>
      </c>
      <c r="G40" s="61" t="e">
        <f>(G39/A39)*100</f>
        <v>#DIV/0!</v>
      </c>
      <c r="H40" s="133"/>
    </row>
    <row r="41" spans="1:8" ht="15.75" customHeight="1">
      <c r="A41" s="168" t="s">
        <v>77</v>
      </c>
      <c r="B41" s="140"/>
      <c r="C41" s="138"/>
      <c r="D41" s="176" t="e">
        <f>SUM(D40+E40+F40+G40)/4</f>
        <v>#DIV/0!</v>
      </c>
      <c r="E41" s="140"/>
      <c r="F41" s="140"/>
      <c r="G41" s="138"/>
      <c r="H41" s="136"/>
    </row>
    <row r="42" spans="1:8" ht="15.75" customHeight="1">
      <c r="A42" s="156" t="s">
        <v>63</v>
      </c>
      <c r="B42" s="135"/>
      <c r="C42" s="135"/>
      <c r="D42" s="135"/>
      <c r="E42" s="135"/>
      <c r="F42" s="135"/>
      <c r="G42" s="135"/>
      <c r="H42" s="136"/>
    </row>
    <row r="43" spans="1:8" ht="15.75" customHeight="1">
      <c r="A43" s="157" t="s">
        <v>64</v>
      </c>
      <c r="B43" s="140"/>
      <c r="C43" s="140"/>
      <c r="D43" s="140"/>
      <c r="E43" s="140"/>
      <c r="F43" s="140"/>
      <c r="G43" s="140"/>
      <c r="H43" s="138"/>
    </row>
    <row r="44" spans="1:8" ht="15.75" customHeight="1">
      <c r="A44" s="158" t="s">
        <v>65</v>
      </c>
      <c r="B44" s="140"/>
      <c r="C44" s="140"/>
      <c r="D44" s="140"/>
      <c r="E44" s="140"/>
      <c r="F44" s="140"/>
      <c r="G44" s="140"/>
      <c r="H44" s="138"/>
    </row>
    <row r="45" spans="1:8" ht="15.75" customHeight="1">
      <c r="A45" s="159" t="s">
        <v>66</v>
      </c>
      <c r="B45" s="140"/>
      <c r="C45" s="140"/>
      <c r="D45" s="140"/>
      <c r="E45" s="140"/>
      <c r="F45" s="140"/>
      <c r="G45" s="140"/>
      <c r="H45" s="138"/>
    </row>
    <row r="46" spans="1:8" ht="15.75" customHeight="1">
      <c r="D46" s="37"/>
      <c r="E46" s="37"/>
      <c r="F46" s="37"/>
    </row>
    <row r="47" spans="1:8" ht="15.75" customHeight="1">
      <c r="D47" s="37"/>
      <c r="E47" s="37"/>
      <c r="F47" s="37"/>
    </row>
    <row r="48" spans="1:8" ht="15.75" customHeight="1">
      <c r="D48" s="37"/>
      <c r="E48" s="37"/>
      <c r="F48" s="37"/>
    </row>
    <row r="49" spans="4:6" ht="15.75" customHeight="1">
      <c r="D49" s="37"/>
      <c r="E49" s="37"/>
      <c r="F49" s="37"/>
    </row>
    <row r="50" spans="4:6" ht="15.75" customHeight="1">
      <c r="D50" s="37"/>
      <c r="E50" s="37"/>
      <c r="F50" s="37"/>
    </row>
    <row r="51" spans="4:6" ht="15.75" customHeight="1">
      <c r="D51" s="37"/>
      <c r="E51" s="37"/>
      <c r="F51" s="37"/>
    </row>
    <row r="52" spans="4:6" ht="15.75" customHeight="1">
      <c r="D52" s="37"/>
      <c r="E52" s="37"/>
      <c r="F52" s="37"/>
    </row>
    <row r="53" spans="4:6" ht="15.75" customHeight="1">
      <c r="D53" s="37"/>
      <c r="E53" s="37"/>
      <c r="F53" s="37"/>
    </row>
    <row r="54" spans="4:6" ht="15.75" customHeight="1">
      <c r="D54" s="37"/>
      <c r="E54" s="37"/>
      <c r="F54" s="37"/>
    </row>
    <row r="55" spans="4:6" ht="15.75" customHeight="1">
      <c r="D55" s="37"/>
      <c r="E55" s="37"/>
      <c r="F55" s="37"/>
    </row>
    <row r="56" spans="4:6" ht="15.75" customHeight="1">
      <c r="D56" s="37"/>
      <c r="E56" s="37"/>
      <c r="F56" s="37"/>
    </row>
    <row r="57" spans="4:6" ht="15.75" customHeight="1">
      <c r="D57" s="37"/>
      <c r="E57" s="37"/>
      <c r="F57" s="37"/>
    </row>
    <row r="58" spans="4:6" ht="15.75" customHeight="1">
      <c r="D58" s="37"/>
      <c r="E58" s="37"/>
      <c r="F58" s="37"/>
    </row>
    <row r="59" spans="4:6" ht="15.75" customHeight="1">
      <c r="D59" s="37"/>
      <c r="E59" s="37"/>
      <c r="F59" s="37"/>
    </row>
    <row r="60" spans="4:6" ht="15.75" customHeight="1">
      <c r="D60" s="37"/>
      <c r="E60" s="37"/>
      <c r="F60" s="37"/>
    </row>
    <row r="61" spans="4:6" ht="15.75" customHeight="1">
      <c r="D61" s="37"/>
      <c r="E61" s="37"/>
      <c r="F61" s="37"/>
    </row>
    <row r="62" spans="4:6" ht="15.75" customHeight="1">
      <c r="D62" s="37"/>
      <c r="E62" s="37"/>
      <c r="F62" s="37"/>
    </row>
    <row r="63" spans="4:6" ht="15.75" customHeight="1">
      <c r="D63" s="37"/>
      <c r="E63" s="37"/>
      <c r="F63" s="37"/>
    </row>
    <row r="64" spans="4:6" ht="15.75" customHeight="1">
      <c r="D64" s="37"/>
      <c r="E64" s="37"/>
      <c r="F64" s="37"/>
    </row>
    <row r="65" spans="4:6" ht="15.75" customHeight="1">
      <c r="D65" s="37"/>
      <c r="E65" s="37"/>
      <c r="F65" s="37"/>
    </row>
    <row r="66" spans="4:6" ht="15.75" customHeight="1">
      <c r="D66" s="37"/>
      <c r="E66" s="37"/>
      <c r="F66" s="37"/>
    </row>
    <row r="67" spans="4:6" ht="15.75" customHeight="1">
      <c r="D67" s="37"/>
      <c r="E67" s="37"/>
      <c r="F67" s="37"/>
    </row>
    <row r="68" spans="4:6" ht="15.75" customHeight="1">
      <c r="D68" s="37"/>
      <c r="E68" s="37"/>
      <c r="F68" s="37"/>
    </row>
    <row r="69" spans="4:6" ht="15.75" customHeight="1">
      <c r="D69" s="37"/>
      <c r="E69" s="37"/>
      <c r="F69" s="37"/>
    </row>
    <row r="70" spans="4:6" ht="15.75" customHeight="1">
      <c r="D70" s="37"/>
      <c r="E70" s="37"/>
      <c r="F70" s="37"/>
    </row>
    <row r="71" spans="4:6" ht="15.75" customHeight="1">
      <c r="D71" s="37"/>
      <c r="E71" s="37"/>
      <c r="F71" s="37"/>
    </row>
    <row r="72" spans="4:6" ht="15.75" customHeight="1">
      <c r="D72" s="37"/>
      <c r="E72" s="37"/>
      <c r="F72" s="37"/>
    </row>
    <row r="73" spans="4:6" ht="15.75" customHeight="1">
      <c r="D73" s="37"/>
      <c r="E73" s="37"/>
      <c r="F73" s="37"/>
    </row>
    <row r="74" spans="4:6" ht="15.75" customHeight="1">
      <c r="D74" s="37"/>
      <c r="E74" s="37"/>
      <c r="F74" s="37"/>
    </row>
    <row r="75" spans="4:6" ht="15.75" customHeight="1">
      <c r="D75" s="37"/>
      <c r="E75" s="37"/>
      <c r="F75" s="37"/>
    </row>
    <row r="76" spans="4:6" ht="15.75" customHeight="1">
      <c r="D76" s="37"/>
      <c r="E76" s="37"/>
      <c r="F76" s="37"/>
    </row>
    <row r="77" spans="4:6" ht="15.75" customHeight="1">
      <c r="D77" s="37"/>
      <c r="E77" s="37"/>
      <c r="F77" s="37"/>
    </row>
    <row r="78" spans="4:6" ht="15.75" customHeight="1">
      <c r="D78" s="37"/>
      <c r="E78" s="37"/>
      <c r="F78" s="37"/>
    </row>
    <row r="79" spans="4:6" ht="15.75" customHeight="1">
      <c r="D79" s="37"/>
      <c r="E79" s="37"/>
      <c r="F79" s="37"/>
    </row>
    <row r="80" spans="4:6" ht="15.75" customHeight="1">
      <c r="D80" s="37"/>
      <c r="E80" s="37"/>
      <c r="F80" s="37"/>
    </row>
    <row r="81" spans="4:6" ht="15.75" customHeight="1">
      <c r="D81" s="37"/>
      <c r="E81" s="37"/>
      <c r="F81" s="37"/>
    </row>
    <row r="82" spans="4:6" ht="15.75" customHeight="1">
      <c r="D82" s="37"/>
      <c r="E82" s="37"/>
      <c r="F82" s="37"/>
    </row>
    <row r="83" spans="4:6" ht="15.75" customHeight="1">
      <c r="D83" s="37"/>
      <c r="E83" s="37"/>
      <c r="F83" s="37"/>
    </row>
    <row r="84" spans="4:6" ht="15.75" customHeight="1">
      <c r="D84" s="37"/>
      <c r="E84" s="37"/>
      <c r="F84" s="37"/>
    </row>
    <row r="85" spans="4:6" ht="15.75" customHeight="1">
      <c r="D85" s="37"/>
      <c r="E85" s="37"/>
      <c r="F85" s="37"/>
    </row>
    <row r="86" spans="4:6" ht="15.75" customHeight="1">
      <c r="D86" s="37"/>
      <c r="E86" s="37"/>
      <c r="F86" s="37"/>
    </row>
    <row r="87" spans="4:6" ht="15.75" customHeight="1">
      <c r="D87" s="37"/>
      <c r="E87" s="37"/>
      <c r="F87" s="37"/>
    </row>
    <row r="88" spans="4:6" ht="15.75" customHeight="1">
      <c r="D88" s="37"/>
      <c r="E88" s="37"/>
      <c r="F88" s="37"/>
    </row>
    <row r="89" spans="4:6" ht="15.75" customHeight="1">
      <c r="D89" s="37"/>
      <c r="E89" s="37"/>
      <c r="F89" s="37"/>
    </row>
    <row r="90" spans="4:6" ht="15.75" customHeight="1">
      <c r="D90" s="37"/>
      <c r="E90" s="37"/>
      <c r="F90" s="37"/>
    </row>
    <row r="91" spans="4:6" ht="15.75" customHeight="1">
      <c r="D91" s="37"/>
      <c r="E91" s="37"/>
      <c r="F91" s="37"/>
    </row>
    <row r="92" spans="4:6" ht="15.75" customHeight="1">
      <c r="D92" s="37"/>
      <c r="E92" s="37"/>
      <c r="F92" s="37"/>
    </row>
    <row r="93" spans="4:6" ht="15.75" customHeight="1">
      <c r="D93" s="37"/>
      <c r="E93" s="37"/>
      <c r="F93" s="37"/>
    </row>
    <row r="94" spans="4:6" ht="15.75" customHeight="1">
      <c r="D94" s="37"/>
      <c r="E94" s="37"/>
      <c r="F94" s="37"/>
    </row>
    <row r="95" spans="4:6" ht="15.75" customHeight="1">
      <c r="D95" s="37"/>
      <c r="E95" s="37"/>
      <c r="F95" s="37"/>
    </row>
    <row r="96" spans="4:6" ht="15.75" customHeight="1">
      <c r="D96" s="37"/>
      <c r="E96" s="37"/>
      <c r="F96" s="37"/>
    </row>
    <row r="97" spans="4:6" ht="15.75" customHeight="1">
      <c r="D97" s="37"/>
      <c r="E97" s="37"/>
      <c r="F97" s="37"/>
    </row>
    <row r="98" spans="4:6" ht="15.75" customHeight="1">
      <c r="D98" s="37"/>
      <c r="E98" s="37"/>
      <c r="F98" s="37"/>
    </row>
    <row r="99" spans="4:6" ht="15.75" customHeight="1">
      <c r="D99" s="37"/>
      <c r="E99" s="37"/>
      <c r="F99" s="37"/>
    </row>
    <row r="100" spans="4:6" ht="15.75" customHeight="1">
      <c r="D100" s="37"/>
      <c r="E100" s="37"/>
      <c r="F100" s="37"/>
    </row>
    <row r="101" spans="4:6" ht="15.75" customHeight="1">
      <c r="D101" s="37"/>
      <c r="E101" s="37"/>
      <c r="F101" s="37"/>
    </row>
    <row r="102" spans="4:6" ht="15.75" customHeight="1">
      <c r="D102" s="37"/>
      <c r="E102" s="37"/>
      <c r="F102" s="37"/>
    </row>
    <row r="103" spans="4:6" ht="15.75" customHeight="1">
      <c r="D103" s="37"/>
      <c r="E103" s="37"/>
      <c r="F103" s="37"/>
    </row>
    <row r="104" spans="4:6" ht="15.75" customHeight="1">
      <c r="D104" s="37"/>
      <c r="E104" s="37"/>
      <c r="F104" s="37"/>
    </row>
    <row r="105" spans="4:6" ht="15.75" customHeight="1">
      <c r="D105" s="37"/>
      <c r="E105" s="37"/>
      <c r="F105" s="37"/>
    </row>
    <row r="106" spans="4:6" ht="15.75" customHeight="1">
      <c r="D106" s="37"/>
      <c r="E106" s="37"/>
      <c r="F106" s="37"/>
    </row>
    <row r="107" spans="4:6" ht="15.75" customHeight="1">
      <c r="D107" s="37"/>
      <c r="E107" s="37"/>
      <c r="F107" s="37"/>
    </row>
    <row r="108" spans="4:6" ht="15.75" customHeight="1">
      <c r="D108" s="37"/>
      <c r="E108" s="37"/>
      <c r="F108" s="37"/>
    </row>
    <row r="109" spans="4:6" ht="15.75" customHeight="1">
      <c r="D109" s="37"/>
      <c r="E109" s="37"/>
      <c r="F109" s="37"/>
    </row>
    <row r="110" spans="4:6" ht="15.75" customHeight="1">
      <c r="D110" s="37"/>
      <c r="E110" s="37"/>
      <c r="F110" s="37"/>
    </row>
    <row r="111" spans="4:6" ht="15.75" customHeight="1">
      <c r="D111" s="37"/>
      <c r="E111" s="37"/>
      <c r="F111" s="37"/>
    </row>
    <row r="112" spans="4:6" ht="15.75" customHeight="1">
      <c r="D112" s="37"/>
      <c r="E112" s="37"/>
      <c r="F112" s="37"/>
    </row>
    <row r="113" spans="4:6" ht="15.75" customHeight="1">
      <c r="D113" s="37"/>
      <c r="E113" s="37"/>
      <c r="F113" s="37"/>
    </row>
    <row r="114" spans="4:6" ht="15.75" customHeight="1">
      <c r="D114" s="37"/>
      <c r="E114" s="37"/>
      <c r="F114" s="37"/>
    </row>
    <row r="115" spans="4:6" ht="15.75" customHeight="1">
      <c r="D115" s="37"/>
      <c r="E115" s="37"/>
      <c r="F115" s="37"/>
    </row>
    <row r="116" spans="4:6" ht="15.75" customHeight="1">
      <c r="D116" s="37"/>
      <c r="E116" s="37"/>
      <c r="F116" s="37"/>
    </row>
    <row r="117" spans="4:6" ht="15.75" customHeight="1">
      <c r="D117" s="37"/>
      <c r="E117" s="37"/>
      <c r="F117" s="37"/>
    </row>
    <row r="118" spans="4:6" ht="15.75" customHeight="1">
      <c r="D118" s="37"/>
      <c r="E118" s="37"/>
      <c r="F118" s="37"/>
    </row>
    <row r="119" spans="4:6" ht="15.75" customHeight="1">
      <c r="D119" s="37"/>
      <c r="E119" s="37"/>
      <c r="F119" s="37"/>
    </row>
    <row r="120" spans="4:6" ht="15.75" customHeight="1">
      <c r="D120" s="37"/>
      <c r="E120" s="37"/>
      <c r="F120" s="37"/>
    </row>
    <row r="121" spans="4:6" ht="15.75" customHeight="1">
      <c r="D121" s="37"/>
      <c r="E121" s="37"/>
      <c r="F121" s="37"/>
    </row>
    <row r="122" spans="4:6" ht="15.75" customHeight="1">
      <c r="D122" s="37"/>
      <c r="E122" s="37"/>
      <c r="F122" s="37"/>
    </row>
    <row r="123" spans="4:6" ht="15.75" customHeight="1">
      <c r="D123" s="37"/>
      <c r="E123" s="37"/>
      <c r="F123" s="37"/>
    </row>
    <row r="124" spans="4:6" ht="15.75" customHeight="1">
      <c r="D124" s="37"/>
      <c r="E124" s="37"/>
      <c r="F124" s="37"/>
    </row>
    <row r="125" spans="4:6" ht="15.75" customHeight="1">
      <c r="D125" s="37"/>
      <c r="E125" s="37"/>
      <c r="F125" s="37"/>
    </row>
    <row r="126" spans="4:6" ht="15.75" customHeight="1">
      <c r="D126" s="37"/>
      <c r="E126" s="37"/>
      <c r="F126" s="37"/>
    </row>
    <row r="127" spans="4:6" ht="15.75" customHeight="1">
      <c r="D127" s="37"/>
      <c r="E127" s="37"/>
      <c r="F127" s="37"/>
    </row>
    <row r="128" spans="4:6" ht="15.75" customHeight="1">
      <c r="D128" s="37"/>
      <c r="E128" s="37"/>
      <c r="F128" s="37"/>
    </row>
    <row r="129" spans="4:6" ht="15.75" customHeight="1">
      <c r="D129" s="37"/>
      <c r="E129" s="37"/>
      <c r="F129" s="37"/>
    </row>
    <row r="130" spans="4:6" ht="15.75" customHeight="1">
      <c r="D130" s="37"/>
      <c r="E130" s="37"/>
      <c r="F130" s="37"/>
    </row>
    <row r="131" spans="4:6" ht="15.75" customHeight="1">
      <c r="D131" s="37"/>
      <c r="E131" s="37"/>
      <c r="F131" s="37"/>
    </row>
    <row r="132" spans="4:6" ht="15.75" customHeight="1">
      <c r="D132" s="37"/>
      <c r="E132" s="37"/>
      <c r="F132" s="37"/>
    </row>
    <row r="133" spans="4:6" ht="15.75" customHeight="1">
      <c r="D133" s="37"/>
      <c r="E133" s="37"/>
      <c r="F133" s="37"/>
    </row>
    <row r="134" spans="4:6" ht="15.75" customHeight="1">
      <c r="D134" s="37"/>
      <c r="E134" s="37"/>
      <c r="F134" s="37"/>
    </row>
    <row r="135" spans="4:6" ht="15.75" customHeight="1">
      <c r="D135" s="37"/>
      <c r="E135" s="37"/>
      <c r="F135" s="37"/>
    </row>
    <row r="136" spans="4:6" ht="15.75" customHeight="1">
      <c r="D136" s="37"/>
      <c r="E136" s="37"/>
      <c r="F136" s="37"/>
    </row>
    <row r="137" spans="4:6" ht="15.75" customHeight="1">
      <c r="D137" s="37"/>
      <c r="E137" s="37"/>
      <c r="F137" s="37"/>
    </row>
    <row r="138" spans="4:6" ht="15.75" customHeight="1">
      <c r="D138" s="37"/>
      <c r="E138" s="37"/>
      <c r="F138" s="37"/>
    </row>
    <row r="139" spans="4:6" ht="15.75" customHeight="1">
      <c r="D139" s="37"/>
      <c r="E139" s="37"/>
      <c r="F139" s="37"/>
    </row>
    <row r="140" spans="4:6" ht="15.75" customHeight="1">
      <c r="D140" s="37"/>
      <c r="E140" s="37"/>
      <c r="F140" s="37"/>
    </row>
    <row r="141" spans="4:6" ht="15.75" customHeight="1">
      <c r="D141" s="37"/>
      <c r="E141" s="37"/>
      <c r="F141" s="37"/>
    </row>
    <row r="142" spans="4:6" ht="15.75" customHeight="1">
      <c r="D142" s="37"/>
      <c r="E142" s="37"/>
      <c r="F142" s="37"/>
    </row>
    <row r="143" spans="4:6" ht="15.75" customHeight="1">
      <c r="D143" s="37"/>
      <c r="E143" s="37"/>
      <c r="F143" s="37"/>
    </row>
    <row r="144" spans="4:6" ht="15.75" customHeight="1">
      <c r="D144" s="37"/>
      <c r="E144" s="37"/>
      <c r="F144" s="37"/>
    </row>
    <row r="145" spans="4:6" ht="15.75" customHeight="1">
      <c r="D145" s="37"/>
      <c r="E145" s="37"/>
      <c r="F145" s="37"/>
    </row>
    <row r="146" spans="4:6" ht="15.75" customHeight="1">
      <c r="D146" s="37"/>
      <c r="E146" s="37"/>
      <c r="F146" s="37"/>
    </row>
    <row r="147" spans="4:6" ht="15.75" customHeight="1">
      <c r="D147" s="37"/>
      <c r="E147" s="37"/>
      <c r="F147" s="37"/>
    </row>
    <row r="148" spans="4:6" ht="15.75" customHeight="1">
      <c r="D148" s="37"/>
      <c r="E148" s="37"/>
      <c r="F148" s="37"/>
    </row>
    <row r="149" spans="4:6" ht="15.75" customHeight="1">
      <c r="D149" s="37"/>
      <c r="E149" s="37"/>
      <c r="F149" s="37"/>
    </row>
    <row r="150" spans="4:6" ht="15.75" customHeight="1">
      <c r="D150" s="37"/>
      <c r="E150" s="37"/>
      <c r="F150" s="37"/>
    </row>
    <row r="151" spans="4:6" ht="15.75" customHeight="1">
      <c r="D151" s="37"/>
      <c r="E151" s="37"/>
      <c r="F151" s="37"/>
    </row>
    <row r="152" spans="4:6" ht="15.75" customHeight="1">
      <c r="D152" s="37"/>
      <c r="E152" s="37"/>
      <c r="F152" s="37"/>
    </row>
    <row r="153" spans="4:6" ht="15.75" customHeight="1">
      <c r="D153" s="37"/>
      <c r="E153" s="37"/>
      <c r="F153" s="37"/>
    </row>
    <row r="154" spans="4:6" ht="15.75" customHeight="1">
      <c r="D154" s="37"/>
      <c r="E154" s="37"/>
      <c r="F154" s="37"/>
    </row>
    <row r="155" spans="4:6" ht="15.75" customHeight="1">
      <c r="D155" s="37"/>
      <c r="E155" s="37"/>
      <c r="F155" s="37"/>
    </row>
    <row r="156" spans="4:6" ht="15.75" customHeight="1">
      <c r="D156" s="37"/>
      <c r="E156" s="37"/>
      <c r="F156" s="37"/>
    </row>
    <row r="157" spans="4:6" ht="15.75" customHeight="1">
      <c r="D157" s="37"/>
      <c r="E157" s="37"/>
      <c r="F157" s="37"/>
    </row>
    <row r="158" spans="4:6" ht="15.75" customHeight="1">
      <c r="D158" s="37"/>
      <c r="E158" s="37"/>
      <c r="F158" s="37"/>
    </row>
    <row r="159" spans="4:6" ht="15.75" customHeight="1">
      <c r="D159" s="37"/>
      <c r="E159" s="37"/>
      <c r="F159" s="37"/>
    </row>
    <row r="160" spans="4:6" ht="15.75" customHeight="1">
      <c r="D160" s="37"/>
      <c r="E160" s="37"/>
      <c r="F160" s="37"/>
    </row>
    <row r="161" spans="4:6" ht="15.75" customHeight="1">
      <c r="D161" s="37"/>
      <c r="E161" s="37"/>
      <c r="F161" s="37"/>
    </row>
    <row r="162" spans="4:6" ht="15.75" customHeight="1">
      <c r="D162" s="37"/>
      <c r="E162" s="37"/>
      <c r="F162" s="37"/>
    </row>
    <row r="163" spans="4:6" ht="15.75" customHeight="1">
      <c r="D163" s="37"/>
      <c r="E163" s="37"/>
      <c r="F163" s="37"/>
    </row>
    <row r="164" spans="4:6" ht="15.75" customHeight="1">
      <c r="D164" s="37"/>
      <c r="E164" s="37"/>
      <c r="F164" s="37"/>
    </row>
    <row r="165" spans="4:6" ht="15.75" customHeight="1">
      <c r="D165" s="37"/>
      <c r="E165" s="37"/>
      <c r="F165" s="37"/>
    </row>
    <row r="166" spans="4:6" ht="15.75" customHeight="1">
      <c r="D166" s="37"/>
      <c r="E166" s="37"/>
      <c r="F166" s="37"/>
    </row>
    <row r="167" spans="4:6" ht="15.75" customHeight="1">
      <c r="D167" s="37"/>
      <c r="E167" s="37"/>
      <c r="F167" s="37"/>
    </row>
    <row r="168" spans="4:6" ht="15.75" customHeight="1">
      <c r="D168" s="37"/>
      <c r="E168" s="37"/>
      <c r="F168" s="37"/>
    </row>
    <row r="169" spans="4:6" ht="15.75" customHeight="1">
      <c r="D169" s="37"/>
      <c r="E169" s="37"/>
      <c r="F169" s="37"/>
    </row>
    <row r="170" spans="4:6" ht="15.75" customHeight="1">
      <c r="D170" s="37"/>
      <c r="E170" s="37"/>
      <c r="F170" s="37"/>
    </row>
    <row r="171" spans="4:6" ht="15.75" customHeight="1">
      <c r="D171" s="37"/>
      <c r="E171" s="37"/>
      <c r="F171" s="37"/>
    </row>
    <row r="172" spans="4:6" ht="15.75" customHeight="1">
      <c r="D172" s="37"/>
      <c r="E172" s="37"/>
      <c r="F172" s="37"/>
    </row>
    <row r="173" spans="4:6" ht="15.75" customHeight="1">
      <c r="D173" s="37"/>
      <c r="E173" s="37"/>
      <c r="F173" s="37"/>
    </row>
    <row r="174" spans="4:6" ht="15.75" customHeight="1">
      <c r="D174" s="37"/>
      <c r="E174" s="37"/>
      <c r="F174" s="37"/>
    </row>
    <row r="175" spans="4:6" ht="15.75" customHeight="1">
      <c r="D175" s="37"/>
      <c r="E175" s="37"/>
      <c r="F175" s="37"/>
    </row>
    <row r="176" spans="4:6" ht="15.75" customHeight="1">
      <c r="D176" s="37"/>
      <c r="E176" s="37"/>
      <c r="F176" s="37"/>
    </row>
    <row r="177" spans="4:6" ht="15.75" customHeight="1">
      <c r="D177" s="37"/>
      <c r="E177" s="37"/>
      <c r="F177" s="37"/>
    </row>
    <row r="178" spans="4:6" ht="15.75" customHeight="1">
      <c r="D178" s="37"/>
      <c r="E178" s="37"/>
      <c r="F178" s="37"/>
    </row>
    <row r="179" spans="4:6" ht="15.75" customHeight="1">
      <c r="D179" s="37"/>
      <c r="E179" s="37"/>
      <c r="F179" s="37"/>
    </row>
    <row r="180" spans="4:6" ht="15.75" customHeight="1">
      <c r="D180" s="37"/>
      <c r="E180" s="37"/>
      <c r="F180" s="37"/>
    </row>
    <row r="181" spans="4:6" ht="15.75" customHeight="1">
      <c r="D181" s="37"/>
      <c r="E181" s="37"/>
      <c r="F181" s="37"/>
    </row>
    <row r="182" spans="4:6" ht="15.75" customHeight="1">
      <c r="D182" s="37"/>
      <c r="E182" s="37"/>
      <c r="F182" s="37"/>
    </row>
    <row r="183" spans="4:6" ht="15.75" customHeight="1">
      <c r="D183" s="37"/>
      <c r="E183" s="37"/>
      <c r="F183" s="37"/>
    </row>
    <row r="184" spans="4:6" ht="15.75" customHeight="1">
      <c r="D184" s="37"/>
      <c r="E184" s="37"/>
      <c r="F184" s="37"/>
    </row>
    <row r="185" spans="4:6" ht="15.75" customHeight="1">
      <c r="D185" s="37"/>
      <c r="E185" s="37"/>
      <c r="F185" s="37"/>
    </row>
    <row r="186" spans="4:6" ht="15.75" customHeight="1">
      <c r="D186" s="37"/>
      <c r="E186" s="37"/>
      <c r="F186" s="37"/>
    </row>
    <row r="187" spans="4:6" ht="15.75" customHeight="1">
      <c r="D187" s="37"/>
      <c r="E187" s="37"/>
      <c r="F187" s="37"/>
    </row>
    <row r="188" spans="4:6" ht="15.75" customHeight="1">
      <c r="D188" s="37"/>
      <c r="E188" s="37"/>
      <c r="F188" s="37"/>
    </row>
    <row r="189" spans="4:6" ht="15.75" customHeight="1">
      <c r="D189" s="37"/>
      <c r="E189" s="37"/>
      <c r="F189" s="37"/>
    </row>
    <row r="190" spans="4:6" ht="15.75" customHeight="1">
      <c r="D190" s="37"/>
      <c r="E190" s="37"/>
      <c r="F190" s="37"/>
    </row>
    <row r="191" spans="4:6" ht="15.75" customHeight="1">
      <c r="D191" s="37"/>
      <c r="E191" s="37"/>
      <c r="F191" s="37"/>
    </row>
    <row r="192" spans="4:6" ht="15.75" customHeight="1">
      <c r="D192" s="37"/>
      <c r="E192" s="37"/>
      <c r="F192" s="37"/>
    </row>
    <row r="193" spans="4:6" ht="15.75" customHeight="1">
      <c r="D193" s="37"/>
      <c r="E193" s="37"/>
      <c r="F193" s="37"/>
    </row>
    <row r="194" spans="4:6" ht="15.75" customHeight="1">
      <c r="D194" s="37"/>
      <c r="E194" s="37"/>
      <c r="F194" s="37"/>
    </row>
    <row r="195" spans="4:6" ht="15.75" customHeight="1">
      <c r="D195" s="37"/>
      <c r="E195" s="37"/>
      <c r="F195" s="37"/>
    </row>
    <row r="196" spans="4:6" ht="15.75" customHeight="1">
      <c r="D196" s="37"/>
      <c r="E196" s="37"/>
      <c r="F196" s="37"/>
    </row>
    <row r="197" spans="4:6" ht="15.75" customHeight="1">
      <c r="D197" s="37"/>
      <c r="E197" s="37"/>
      <c r="F197" s="37"/>
    </row>
    <row r="198" spans="4:6" ht="15.75" customHeight="1">
      <c r="D198" s="37"/>
      <c r="E198" s="37"/>
      <c r="F198" s="37"/>
    </row>
    <row r="199" spans="4:6" ht="15.75" customHeight="1">
      <c r="D199" s="37"/>
      <c r="E199" s="37"/>
      <c r="F199" s="37"/>
    </row>
    <row r="200" spans="4:6" ht="15.75" customHeight="1">
      <c r="D200" s="37"/>
      <c r="E200" s="37"/>
      <c r="F200" s="37"/>
    </row>
    <row r="201" spans="4:6" ht="15.75" customHeight="1">
      <c r="D201" s="37"/>
      <c r="E201" s="37"/>
      <c r="F201" s="37"/>
    </row>
    <row r="202" spans="4:6" ht="15.75" customHeight="1">
      <c r="D202" s="37"/>
      <c r="E202" s="37"/>
      <c r="F202" s="37"/>
    </row>
    <row r="203" spans="4:6" ht="15.75" customHeight="1">
      <c r="D203" s="37"/>
      <c r="E203" s="37"/>
      <c r="F203" s="37"/>
    </row>
    <row r="204" spans="4:6" ht="15.75" customHeight="1">
      <c r="D204" s="37"/>
      <c r="E204" s="37"/>
      <c r="F204" s="37"/>
    </row>
    <row r="205" spans="4:6" ht="15.75" customHeight="1">
      <c r="D205" s="37"/>
      <c r="E205" s="37"/>
      <c r="F205" s="37"/>
    </row>
    <row r="206" spans="4:6" ht="15.75" customHeight="1">
      <c r="D206" s="37"/>
      <c r="E206" s="37"/>
      <c r="F206" s="37"/>
    </row>
    <row r="207" spans="4:6" ht="15.75" customHeight="1">
      <c r="D207" s="37"/>
      <c r="E207" s="37"/>
      <c r="F207" s="37"/>
    </row>
    <row r="208" spans="4:6" ht="15.75" customHeight="1">
      <c r="D208" s="37"/>
      <c r="E208" s="37"/>
      <c r="F208" s="37"/>
    </row>
    <row r="209" spans="4:6" ht="15.75" customHeight="1">
      <c r="D209" s="37"/>
      <c r="E209" s="37"/>
      <c r="F209" s="37"/>
    </row>
    <row r="210" spans="4:6" ht="15.75" customHeight="1">
      <c r="D210" s="37"/>
      <c r="E210" s="37"/>
      <c r="F210" s="37"/>
    </row>
    <row r="211" spans="4:6" ht="15.75" customHeight="1">
      <c r="D211" s="37"/>
      <c r="E211" s="37"/>
      <c r="F211" s="37"/>
    </row>
    <row r="212" spans="4:6" ht="15.75" customHeight="1">
      <c r="D212" s="37"/>
      <c r="E212" s="37"/>
      <c r="F212" s="37"/>
    </row>
    <row r="213" spans="4:6" ht="15.75" customHeight="1">
      <c r="D213" s="37"/>
      <c r="E213" s="37"/>
      <c r="F213" s="37"/>
    </row>
    <row r="214" spans="4:6" ht="15.75" customHeight="1">
      <c r="D214" s="37"/>
      <c r="E214" s="37"/>
      <c r="F214" s="37"/>
    </row>
    <row r="215" spans="4:6" ht="15.75" customHeight="1">
      <c r="D215" s="37"/>
      <c r="E215" s="37"/>
      <c r="F215" s="37"/>
    </row>
    <row r="216" spans="4:6" ht="15.75" customHeight="1">
      <c r="D216" s="37"/>
      <c r="E216" s="37"/>
      <c r="F216" s="37"/>
    </row>
    <row r="217" spans="4:6" ht="15.75" customHeight="1">
      <c r="D217" s="37"/>
      <c r="E217" s="37"/>
      <c r="F217" s="37"/>
    </row>
    <row r="218" spans="4:6" ht="15.75" customHeight="1">
      <c r="D218" s="37"/>
      <c r="E218" s="37"/>
      <c r="F218" s="37"/>
    </row>
    <row r="219" spans="4:6" ht="15.75" customHeight="1">
      <c r="D219" s="37"/>
      <c r="E219" s="37"/>
      <c r="F219" s="37"/>
    </row>
    <row r="220" spans="4:6" ht="15.75" customHeight="1">
      <c r="D220" s="37"/>
      <c r="E220" s="37"/>
      <c r="F220" s="37"/>
    </row>
    <row r="221" spans="4:6" ht="15.75" customHeight="1">
      <c r="D221" s="37"/>
      <c r="E221" s="37"/>
      <c r="F221" s="37"/>
    </row>
    <row r="222" spans="4:6" ht="15.75" customHeight="1">
      <c r="D222" s="37"/>
      <c r="E222" s="37"/>
      <c r="F222" s="37"/>
    </row>
    <row r="223" spans="4:6" ht="15.75" customHeight="1">
      <c r="D223" s="37"/>
      <c r="E223" s="37"/>
      <c r="F223" s="37"/>
    </row>
    <row r="224" spans="4:6" ht="15.75" customHeight="1">
      <c r="D224" s="37"/>
      <c r="E224" s="37"/>
      <c r="F224" s="37"/>
    </row>
    <row r="225" spans="4:6" ht="15.75" customHeight="1">
      <c r="D225" s="37"/>
      <c r="E225" s="37"/>
      <c r="F225" s="37"/>
    </row>
    <row r="226" spans="4:6" ht="15.75" customHeight="1">
      <c r="D226" s="37"/>
      <c r="E226" s="37"/>
      <c r="F226" s="37"/>
    </row>
    <row r="227" spans="4:6" ht="15.75" customHeight="1">
      <c r="D227" s="37"/>
      <c r="E227" s="37"/>
      <c r="F227" s="37"/>
    </row>
    <row r="228" spans="4:6" ht="15.75" customHeight="1">
      <c r="D228" s="37"/>
      <c r="E228" s="37"/>
      <c r="F228" s="37"/>
    </row>
    <row r="229" spans="4:6" ht="15.75" customHeight="1">
      <c r="D229" s="37"/>
      <c r="E229" s="37"/>
      <c r="F229" s="37"/>
    </row>
    <row r="230" spans="4:6" ht="15.75" customHeight="1">
      <c r="D230" s="37"/>
      <c r="E230" s="37"/>
      <c r="F230" s="37"/>
    </row>
    <row r="231" spans="4:6" ht="15.75" customHeight="1">
      <c r="D231" s="37"/>
      <c r="E231" s="37"/>
      <c r="F231" s="37"/>
    </row>
    <row r="232" spans="4:6" ht="15.75" customHeight="1">
      <c r="D232" s="37"/>
      <c r="E232" s="37"/>
      <c r="F232" s="37"/>
    </row>
    <row r="233" spans="4:6" ht="15.75" customHeight="1">
      <c r="D233" s="37"/>
      <c r="E233" s="37"/>
      <c r="F233" s="37"/>
    </row>
    <row r="234" spans="4:6" ht="15.75" customHeight="1">
      <c r="D234" s="37"/>
      <c r="E234" s="37"/>
      <c r="F234" s="37"/>
    </row>
    <row r="235" spans="4:6" ht="15.75" customHeight="1">
      <c r="D235" s="37"/>
      <c r="E235" s="37"/>
      <c r="F235" s="37"/>
    </row>
    <row r="236" spans="4:6" ht="15.75" customHeight="1">
      <c r="D236" s="37"/>
      <c r="E236" s="37"/>
      <c r="F236" s="37"/>
    </row>
    <row r="237" spans="4:6" ht="15.75" customHeight="1">
      <c r="D237" s="37"/>
      <c r="E237" s="37"/>
      <c r="F237" s="37"/>
    </row>
    <row r="238" spans="4:6" ht="15.75" customHeight="1">
      <c r="D238" s="37"/>
      <c r="E238" s="37"/>
      <c r="F238" s="37"/>
    </row>
    <row r="239" spans="4:6" ht="15.75" customHeight="1">
      <c r="D239" s="37"/>
      <c r="E239" s="37"/>
      <c r="F239" s="37"/>
    </row>
    <row r="240" spans="4:6" ht="15.75" customHeight="1">
      <c r="D240" s="37"/>
      <c r="E240" s="37"/>
      <c r="F240" s="37"/>
    </row>
    <row r="241" spans="4:6" ht="15.75" customHeight="1">
      <c r="D241" s="37"/>
      <c r="E241" s="37"/>
      <c r="F241" s="37"/>
    </row>
    <row r="242" spans="4:6" ht="15.75" customHeight="1">
      <c r="D242" s="37"/>
      <c r="E242" s="37"/>
      <c r="F242" s="37"/>
    </row>
    <row r="243" spans="4:6" ht="15.75" customHeight="1">
      <c r="D243" s="37"/>
      <c r="E243" s="37"/>
      <c r="F243" s="37"/>
    </row>
    <row r="244" spans="4:6" ht="15.75" customHeight="1"/>
    <row r="245" spans="4:6" ht="15.75" customHeight="1"/>
    <row r="246" spans="4:6" ht="15.75" customHeight="1"/>
    <row r="247" spans="4:6" ht="15.75" customHeight="1"/>
    <row r="248" spans="4:6" ht="15.75" customHeight="1"/>
    <row r="249" spans="4:6" ht="15.75" customHeight="1"/>
    <row r="250" spans="4:6" ht="15.75" customHeight="1"/>
    <row r="251" spans="4:6" ht="15.75" customHeight="1"/>
    <row r="252" spans="4:6" ht="15.75" customHeight="1"/>
    <row r="253" spans="4:6" ht="15.75" customHeight="1"/>
    <row r="254" spans="4:6" ht="15.75" customHeight="1"/>
    <row r="255" spans="4:6" ht="15.75" customHeight="1"/>
    <row r="256" spans="4: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45:H45"/>
    <mergeCell ref="A1:A3"/>
    <mergeCell ref="B1:G3"/>
    <mergeCell ref="B4:H4"/>
    <mergeCell ref="A5:H5"/>
    <mergeCell ref="A6:G6"/>
    <mergeCell ref="A39:C40"/>
    <mergeCell ref="H39:H41"/>
    <mergeCell ref="A41:C41"/>
    <mergeCell ref="D41:G41"/>
    <mergeCell ref="A42:H42"/>
    <mergeCell ref="A43:H43"/>
    <mergeCell ref="A44:H44"/>
  </mergeCells>
  <pageMargins left="0.7" right="0.7" top="0.75" bottom="0.75" header="0" footer="0"/>
  <pageSetup orientation="landscape"/>
  <headerFooter>
    <oddFooter>&amp;C Este documento es propiedad intelectual de CLINICA DE ALTA COMPLEJIDAD SANTA BARBARA S.A.S se prohíbe su reproducción total o parcial sin previa autorización escrita de su propietario.</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2 semana.  Acceso ven</vt:lpstr>
      <vt:lpstr>2 Semana  Cateter Vesi</vt:lpstr>
      <vt:lpstr>2 Semana   Prevenci NE</vt:lpstr>
      <vt:lpstr>3 semana  Acceso venoso</vt:lpstr>
      <vt:lpstr> de 3 Semana  Cateter Vesi</vt:lpstr>
      <vt:lpstr>3 Semana Hosp  Prevenc NEU</vt:lpstr>
      <vt:lpstr>4  semana. Acceso v</vt:lpstr>
      <vt:lpstr>4 Semana Cateter Vesi</vt:lpstr>
      <vt:lpstr>4 Semana Prevenc NEU</vt:lpstr>
      <vt:lpstr>5 semana. Acceso v</vt:lpstr>
      <vt:lpstr>5 Semana Cateter Vesi</vt:lpstr>
      <vt:lpstr>5 Semana Prevenc NEU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EPIDEMIOLOGA</dc:creator>
  <cp:lastModifiedBy>Sistemas de información Ge2</cp:lastModifiedBy>
  <dcterms:created xsi:type="dcterms:W3CDTF">2016-03-11T20:50:00Z</dcterms:created>
  <dcterms:modified xsi:type="dcterms:W3CDTF">2026-05-19T17:33:15Z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2058-12.2.0.23131</vt:lpwstr>
  </property>
  <property fmtid="{D5CDD505-2E9C-101B-9397-08002B2CF9AE}" pid="3" name="ICV">
    <vt:lpwstr>1D7164ABE49E46EAA6B4B0367CD319CE_13</vt:lpwstr>
  </property>
  <property fmtid="{D5CDD505-2E9C-101B-9397-08002B2CF9AE}" pid="4" name="KSOReadingLayout">
    <vt:bool>false</vt:bool>
  </property>
</Properties>
</file>